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ker-projects\Sanc-Logistics\"/>
    </mc:Choice>
  </mc:AlternateContent>
  <xr:revisionPtr revIDLastSave="0" documentId="13_ncr:1_{AFDC4C07-8407-434C-B9AD-0BD7CFCD52B1}" xr6:coauthVersionLast="47" xr6:coauthVersionMax="47" xr10:uidLastSave="{00000000-0000-0000-0000-000000000000}"/>
  <bookViews>
    <workbookView xWindow="29460" yWindow="1290" windowWidth="27630" windowHeight="15585" firstSheet="2" activeTab="6" xr2:uid="{00000000-000D-0000-FFFF-FFFF00000000}"/>
  </bookViews>
  <sheets>
    <sheet name="00_사용안내" sheetId="1" r:id="rId1"/>
    <sheet name="01_앱개발_범위" sheetId="2" r:id="rId2"/>
    <sheet name="02_업무흐름" sheetId="3" r:id="rId3"/>
    <sheet name="03_화면정의" sheetId="4" r:id="rId4"/>
    <sheet name="04_출력주문서_양식" sheetId="5" r:id="rId5"/>
    <sheet name="05_데이터정의" sheetId="6" r:id="rId6"/>
    <sheet name="06_주문마스터_데이터" sheetId="7" r:id="rId7"/>
    <sheet name="07_상품상세_데이터" sheetId="8" r:id="rId8"/>
    <sheet name="08_검수기준_일정" sheetId="9" r:id="rId9"/>
  </sheets>
  <definedNames>
    <definedName name="_xlnm.Print_Area" localSheetId="6">'06_주문마스터_데이터'!$A$1:$Z$7</definedName>
    <definedName name="_xlnm.Print_Area" localSheetId="7">'07_상품상세_데이터'!$A$1:$K$7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8" l="1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U105" i="7"/>
  <c r="T105" i="7"/>
  <c r="U104" i="7"/>
  <c r="T104" i="7"/>
  <c r="U103" i="7"/>
  <c r="T103" i="7"/>
  <c r="U102" i="7"/>
  <c r="T102" i="7"/>
  <c r="U101" i="7"/>
  <c r="T101" i="7"/>
  <c r="U100" i="7"/>
  <c r="T100" i="7"/>
  <c r="U99" i="7"/>
  <c r="T99" i="7"/>
  <c r="U98" i="7"/>
  <c r="T98" i="7"/>
  <c r="U97" i="7"/>
  <c r="T97" i="7"/>
  <c r="U96" i="7"/>
  <c r="T96" i="7"/>
  <c r="U95" i="7"/>
  <c r="T95" i="7"/>
  <c r="U94" i="7"/>
  <c r="T94" i="7"/>
  <c r="U93" i="7"/>
  <c r="T93" i="7"/>
  <c r="U92" i="7"/>
  <c r="T92" i="7"/>
  <c r="U91" i="7"/>
  <c r="T91" i="7"/>
  <c r="U90" i="7"/>
  <c r="T90" i="7"/>
  <c r="U89" i="7"/>
  <c r="T89" i="7"/>
  <c r="U88" i="7"/>
  <c r="T88" i="7"/>
  <c r="U87" i="7"/>
  <c r="T87" i="7"/>
  <c r="U86" i="7"/>
  <c r="T86" i="7"/>
  <c r="U85" i="7"/>
  <c r="T85" i="7"/>
  <c r="U84" i="7"/>
  <c r="T84" i="7"/>
  <c r="U83" i="7"/>
  <c r="T83" i="7"/>
  <c r="U82" i="7"/>
  <c r="T82" i="7"/>
  <c r="U81" i="7"/>
  <c r="T81" i="7"/>
  <c r="U80" i="7"/>
  <c r="T80" i="7"/>
  <c r="U79" i="7"/>
  <c r="T79" i="7"/>
  <c r="U78" i="7"/>
  <c r="T78" i="7"/>
  <c r="U77" i="7"/>
  <c r="T77" i="7"/>
  <c r="U76" i="7"/>
  <c r="T76" i="7"/>
  <c r="U75" i="7"/>
  <c r="T75" i="7"/>
  <c r="U74" i="7"/>
  <c r="T74" i="7"/>
  <c r="U73" i="7"/>
  <c r="T73" i="7"/>
  <c r="U72" i="7"/>
  <c r="T72" i="7"/>
  <c r="U71" i="7"/>
  <c r="T71" i="7"/>
  <c r="U70" i="7"/>
  <c r="T70" i="7"/>
  <c r="U69" i="7"/>
  <c r="T69" i="7"/>
  <c r="U68" i="7"/>
  <c r="T68" i="7"/>
  <c r="U67" i="7"/>
  <c r="T67" i="7"/>
  <c r="U66" i="7"/>
  <c r="T66" i="7"/>
  <c r="U65" i="7"/>
  <c r="T65" i="7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U6" i="7"/>
</calcChain>
</file>

<file path=xl/sharedStrings.xml><?xml version="1.0" encoding="utf-8"?>
<sst xmlns="http://schemas.openxmlformats.org/spreadsheetml/2006/main" count="1042" uniqueCount="549">
  <si>
    <t>26년 설 선물세트 주문서 앱 개발 자료 및 엑셀 데이터 양식</t>
  </si>
  <si>
    <t>원본 파일</t>
  </si>
  <si>
    <t>26년설주문서엑셀파일-2.xlsx</t>
  </si>
  <si>
    <t>기준 시트</t>
  </si>
  <si>
    <t>주문작성하기</t>
  </si>
  <si>
    <t>작성일</t>
  </si>
  <si>
    <t>용도</t>
  </si>
  <si>
    <t>개발업체 전달용</t>
  </si>
  <si>
    <t>이 파일의 사용 방법</t>
  </si>
  <si>
    <t>1</t>
  </si>
  <si>
    <t>앱 개발 범위 확인</t>
  </si>
  <si>
    <t>2</t>
  </si>
  <si>
    <t>화면/출력 확인</t>
  </si>
  <si>
    <t>03_화면정의와 04_출력주문서_양식으로 입력 화면과 출력물을 맞춥니다.</t>
  </si>
  <si>
    <t>3</t>
  </si>
  <si>
    <t>05_데이터정의, 06_주문마스터_데이터, 07_상품상세_데이터를 앱의 저장/엑셀 내보내기 기준으로 씁니다.</t>
  </si>
  <si>
    <t>4</t>
  </si>
  <si>
    <t>검수 기준 확정</t>
  </si>
  <si>
    <t>08_검수기준_일정의 테스트 항목을 납품 검수 기준으로 사용합니다.</t>
  </si>
  <si>
    <t>개발 방향 요약</t>
  </si>
  <si>
    <t>구분</t>
  </si>
  <si>
    <t>권장안</t>
  </si>
  <si>
    <t>이유</t>
  </si>
  <si>
    <t>웹앱 또는 사내 설치형 웹앱</t>
  </si>
  <si>
    <t>PC에서 주문 입력과 출력이 편하고, 여러 담당자가 동시에 사용할 수 있습니다.</t>
  </si>
  <si>
    <t>출력 방식</t>
  </si>
  <si>
    <t>주문서 미리보기 후 PDF/엑셀/인쇄</t>
  </si>
  <si>
    <t>기존 주문서 양식을 유지하면서 제출·보관·재출력이 가능합니다.</t>
  </si>
  <si>
    <t>데이터 저장</t>
  </si>
  <si>
    <t>운영 중 검색/수정/집계가 가능하고, 필요할 때 엑셀로 전달할 수 있습니다.</t>
  </si>
  <si>
    <t>주문 입력, 상품 여러 줄 입력, 주문서 출력, 누적 데이터 저장, 엑셀 내보내기</t>
  </si>
  <si>
    <t>추가 권장</t>
  </si>
  <si>
    <t>주소 파일 업로드, 주문상태 관리, 권한/로그, 우체국 작업 파일 연동</t>
  </si>
  <si>
    <t>업체에 반드시 확인할 질문</t>
  </si>
  <si>
    <t>주문서 출력물을 기존 엑셀과 같은 배치로 PDF/인쇄할 수 있는가?</t>
  </si>
  <si>
    <t>주문 1건에 상품 여러 줄을 저장하고, 나중에 상품별/주문별로 조회할 수 있는가?</t>
  </si>
  <si>
    <t>엑셀 누적 데이터 양식 그대로 내보내기와 가져오기가 가능한가?</t>
  </si>
  <si>
    <t>택배 발송일 최소 5일 전 같은 업무 규칙을 자동 경고로 넣을 수 있는가?</t>
  </si>
  <si>
    <t>5</t>
  </si>
  <si>
    <t>명절 기간 주문 증가를 감안해 백업/복구와 사용자별 변경 이력을 남길 수 있는가?</t>
  </si>
  <si>
    <t>6</t>
  </si>
  <si>
    <t>향후 우체국 작업 파일, 고객주소 파일, 문자 발송 연동까지 확장 가능한가?</t>
  </si>
  <si>
    <t>앱 개발 제안 범위</t>
  </si>
  <si>
    <t>기능</t>
  </si>
  <si>
    <t>상세 요구사항</t>
  </si>
  <si>
    <t>산출물/동작</t>
  </si>
  <si>
    <t>우선순위</t>
  </si>
  <si>
    <t>비고</t>
  </si>
  <si>
    <t>주문 입력</t>
  </si>
  <si>
    <t>주문 기본정보</t>
  </si>
  <si>
    <t>주문구분, 주문일자, 지점/매장, 성명, 연락처, 택배 발송일, 배달일시 입력</t>
  </si>
  <si>
    <t>화면 저장 시 주문번호 자동 생성</t>
  </si>
  <si>
    <t>필수</t>
  </si>
  <si>
    <t>원본 상단 영역</t>
  </si>
  <si>
    <t>거래처/보내는 사람 정보</t>
  </si>
  <si>
    <t>거래처 담당자, 담당자 연락처, 보내는 사람, 보내는 연락처, 보내는 주소 입력</t>
  </si>
  <si>
    <t>주문서 출력과 누적 데이터에 동시 반영</t>
  </si>
  <si>
    <t>원본 중간 영역</t>
  </si>
  <si>
    <t>상품 입력</t>
  </si>
  <si>
    <t>상품 여러 줄</t>
  </si>
  <si>
    <t>주문 제품명, 주문 수량, 주문 요청 사항을 1건 주문에 여러 줄로 입력</t>
  </si>
  <si>
    <t>상품상세 데이터로 누적</t>
  </si>
  <si>
    <t>최소 5줄, 추가 행 가능</t>
  </si>
  <si>
    <t>상세 입력</t>
  </si>
  <si>
    <t>인사장/명함 정보</t>
  </si>
  <si>
    <t>인사장번호, 은행 명함 유무, 은행 자체 인사장 유무, 특기사항 입력</t>
  </si>
  <si>
    <t>출력 양식 하단 반영</t>
  </si>
  <si>
    <t>유/무 선택형</t>
  </si>
  <si>
    <t>출력</t>
  </si>
  <si>
    <t>주문서 미리보기</t>
  </si>
  <si>
    <t>원본 주문서 배치와 유사한 양식으로 미리보기</t>
  </si>
  <si>
    <t>PDF 저장, 인쇄, 엑셀 출력</t>
  </si>
  <si>
    <t>A4 또는 원본 비율</t>
  </si>
  <si>
    <t>데이터</t>
  </si>
  <si>
    <t>누적 저장</t>
  </si>
  <si>
    <t>주문마스터와 상품상세를 분리 저장</t>
  </si>
  <si>
    <t>검색, 수정, 엑셀 내보내기</t>
  </si>
  <si>
    <t>데이터 시트 기준</t>
  </si>
  <si>
    <t>운영</t>
  </si>
  <si>
    <t>상태 관리</t>
  </si>
  <si>
    <t>접수, 검토중, 출력완료, 발송대기, 발송완료, 취소</t>
  </si>
  <si>
    <t>주문 상태별 조회</t>
  </si>
  <si>
    <t>권장</t>
  </si>
  <si>
    <t>명절 운영 필수에 가까움</t>
  </si>
  <si>
    <t>검증</t>
  </si>
  <si>
    <t>업무 규칙</t>
  </si>
  <si>
    <t>택배 주문은 발송일 기준 최소 5일 전 작성 경고</t>
  </si>
  <si>
    <t>저장 전 경고/확인</t>
  </si>
  <si>
    <t>원본 안내문 반영</t>
  </si>
  <si>
    <t>확장</t>
  </si>
  <si>
    <t>주소/우체국 연동</t>
  </si>
  <si>
    <t>고객주소 파일 업로드, 우체국 작업 파일 생성</t>
  </si>
  <si>
    <t>반복 작업 감소</t>
  </si>
  <si>
    <t>선택</t>
  </si>
  <si>
    <t>기존 폴더 업무와 연계 가능</t>
  </si>
  <si>
    <t>권장 개발 방식</t>
  </si>
  <si>
    <t>항목</t>
  </si>
  <si>
    <t>설명</t>
  </si>
  <si>
    <t>1차 구축</t>
  </si>
  <si>
    <t>사내 웹앱 + DB + 엑셀/PDF 출력</t>
  </si>
  <si>
    <t>사용자는 브라우저로 입력하고, 관리자는 누적 데이터를 내려받습니다.</t>
  </si>
  <si>
    <t>저장소</t>
  </si>
  <si>
    <t>DB 우선, 엑셀은 내보내기 양식</t>
  </si>
  <si>
    <t>엑셀 파일에 직접 누적만 하면 동시 작업과 오류 복구가 어렵습니다.</t>
  </si>
  <si>
    <t>서버에서 PDF/엑셀 생성</t>
  </si>
  <si>
    <t>담당자 PC 환경 차이로 인한 인쇄 틀어짐을 줄입니다.</t>
  </si>
  <si>
    <t>일일 자동 백업</t>
  </si>
  <si>
    <t>명절 주문 기간에는 데이터 손실 방지가 최우선입니다.</t>
  </si>
  <si>
    <t>주문 접수부터 출력/누적 저장까지 업무 흐름</t>
  </si>
  <si>
    <t>단계</t>
  </si>
  <si>
    <t>업무</t>
  </si>
  <si>
    <t>담당</t>
  </si>
  <si>
    <t>입력/확인 내용</t>
  </si>
  <si>
    <t>앱 처리</t>
  </si>
  <si>
    <t>산출물</t>
  </si>
  <si>
    <t>검수 포인트</t>
  </si>
  <si>
    <t>신규 주문 작성</t>
  </si>
  <si>
    <t>매장/주문 담당자</t>
  </si>
  <si>
    <t>주문구분, 주문일자, 성명, 연락처</t>
  </si>
  <si>
    <t>주문번호 생성, 필수값 검사</t>
  </si>
  <si>
    <t>주문 초안</t>
  </si>
  <si>
    <t>주문번호 중복 없음</t>
  </si>
  <si>
    <t>발송/배달 일정 입력</t>
  </si>
  <si>
    <t>택배 발송일 또는 배달일시</t>
  </si>
  <si>
    <t>택배 주문은 발송일 5일 전 규칙 경고</t>
  </si>
  <si>
    <t>일정 정보</t>
  </si>
  <si>
    <t>날짜 형식 정상</t>
  </si>
  <si>
    <t>거래처/보내는 사람 입력</t>
  </si>
  <si>
    <t>거래처 담당자, 보내는 사람, 주소</t>
  </si>
  <si>
    <t>전화번호 형식, 주소 누락 확인</t>
  </si>
  <si>
    <t>연락처 누락 없음</t>
  </si>
  <si>
    <t>상품명, 수량, 요청사항을 여러 줄 입력</t>
  </si>
  <si>
    <t>수량 숫자 검사, 빈 상품행 제외</t>
  </si>
  <si>
    <t>상품상세 데이터</t>
  </si>
  <si>
    <t>합계 수량 일치</t>
  </si>
  <si>
    <t>인사장/명함 정보 입력</t>
  </si>
  <si>
    <t>인사장번호, 명함 유무, 자체 인사장 유무</t>
  </si>
  <si>
    <t>유/무 선택값 저장</t>
  </si>
  <si>
    <t>주문 상세 정보</t>
  </si>
  <si>
    <t>출력물 반영</t>
  </si>
  <si>
    <t>주문서 출력</t>
  </si>
  <si>
    <t>매장/관리자</t>
  </si>
  <si>
    <t>미리보기 확인 후 PDF/인쇄/엑셀 생성</t>
  </si>
  <si>
    <t>원본 주문서 양식에 값 치환</t>
  </si>
  <si>
    <t>주문서 양식</t>
  </si>
  <si>
    <t>기존 양식과 배치 유사</t>
  </si>
  <si>
    <t>7</t>
  </si>
  <si>
    <t>누적 데이터 저장</t>
  </si>
  <si>
    <t>시스템</t>
  </si>
  <si>
    <t>주문마스터 1행, 상품상세 N행 저장</t>
  </si>
  <si>
    <t>DB 저장 및 엑셀 내보내기 준비</t>
  </si>
  <si>
    <t>누적 데이터</t>
  </si>
  <si>
    <t>주문번호로 연결</t>
  </si>
  <si>
    <t>8</t>
  </si>
  <si>
    <t>발송/완료 처리</t>
  </si>
  <si>
    <t>관리자</t>
  </si>
  <si>
    <t>상태 변경, 비고 기록</t>
  </si>
  <si>
    <t>변경 이력 저장</t>
  </si>
  <si>
    <t>상태별 목록</t>
  </si>
  <si>
    <t>누가 언제 바꿨는지 확인</t>
  </si>
  <si>
    <t>앱 화면 정의</t>
  </si>
  <si>
    <t>화면ID</t>
  </si>
  <si>
    <t>화면명</t>
  </si>
  <si>
    <t>주요 입력/표시</t>
  </si>
  <si>
    <t>상세 설명</t>
  </si>
  <si>
    <t>버튼</t>
  </si>
  <si>
    <t>권한</t>
  </si>
  <si>
    <t>ORD-001</t>
  </si>
  <si>
    <t>주문 목록</t>
  </si>
  <si>
    <t>주문번호, 주문일자, 성명, 연락처, 상태</t>
  </si>
  <si>
    <t>기간/상태/성명/연락처로 검색하고 주문을 선택합니다.</t>
  </si>
  <si>
    <t>신규, 수정, 출력, 엑셀내보내기</t>
  </si>
  <si>
    <t>조회/관리자</t>
  </si>
  <si>
    <t>기본 시작 화면</t>
  </si>
  <si>
    <t>ORD-002</t>
  </si>
  <si>
    <t>주문 작성</t>
  </si>
  <si>
    <t>원본 첫 시트의 모든 입력 항목</t>
  </si>
  <si>
    <t>상단 기본정보, 중간 주문내역, 하단 상세내역을 한 화면에서 입력합니다.</t>
  </si>
  <si>
    <t>저장, 미리보기, 취소</t>
  </si>
  <si>
    <t>입력/관리자</t>
  </si>
  <si>
    <t>필수값 즉시 표시</t>
  </si>
  <si>
    <t>ORD-003</t>
  </si>
  <si>
    <t>상품 행 입력</t>
  </si>
  <si>
    <t>상품명, 수량, 요청사항</t>
  </si>
  <si>
    <t>주문 1건에 상품 여러 줄을 추가/삭제합니다.</t>
  </si>
  <si>
    <t>행추가, 행삭제</t>
  </si>
  <si>
    <t>수량 숫자만 허용</t>
  </si>
  <si>
    <t>ORD-004</t>
  </si>
  <si>
    <t>출력 양식</t>
  </si>
  <si>
    <t>04_출력주문서_양식과 같은 배치로 화면에 보여줍니다.</t>
  </si>
  <si>
    <t>PDF, 인쇄, 엑셀</t>
  </si>
  <si>
    <t>출력 전 최종 확인</t>
  </si>
  <si>
    <t>ORD-005</t>
  </si>
  <si>
    <t>누적 데이터 관리</t>
  </si>
  <si>
    <t>주문마스터, 상품상세</t>
  </si>
  <si>
    <t>조건 검색, 수정 이력 확인, 엑셀 내려받기를 제공합니다.</t>
  </si>
  <si>
    <t>검색, 다운로드</t>
  </si>
  <si>
    <t>운영/정산용</t>
  </si>
  <si>
    <t>ADM-001</t>
  </si>
  <si>
    <t>기준정보 관리</t>
  </si>
  <si>
    <t>상품명, 매장, 담당자, 상태값</t>
  </si>
  <si>
    <t>상품명과 매장 연락처 같은 반복 입력값을 관리합니다.</t>
  </si>
  <si>
    <t>추가, 수정, 비활성</t>
  </si>
  <si>
    <t>오타 방지</t>
  </si>
  <si>
    <t>주문 작성 화면 입력 그룹</t>
  </si>
  <si>
    <t>그룹</t>
  </si>
  <si>
    <t>입력항목</t>
  </si>
  <si>
    <t>형태</t>
  </si>
  <si>
    <t>검증/선택값</t>
  </si>
  <si>
    <t>원본 위치</t>
  </si>
  <si>
    <t>출력 반영</t>
  </si>
  <si>
    <t>기본정보</t>
  </si>
  <si>
    <t>주문구분</t>
  </si>
  <si>
    <t>라디오</t>
  </si>
  <si>
    <t>Y</t>
  </si>
  <si>
    <t>택배, 배달</t>
  </si>
  <si>
    <t>A1 제목부</t>
  </si>
  <si>
    <t>A1</t>
  </si>
  <si>
    <t>주문일자</t>
  </si>
  <si>
    <t>날짜</t>
  </si>
  <si>
    <t>yyyy-mm-dd</t>
  </si>
  <si>
    <t>F1</t>
  </si>
  <si>
    <t>G1:J1</t>
  </si>
  <si>
    <t>소속/매장</t>
  </si>
  <si>
    <t>텍스트/선택</t>
  </si>
  <si>
    <t>매장 기준정보</t>
  </si>
  <si>
    <t>A2:B2</t>
  </si>
  <si>
    <t>B2</t>
  </si>
  <si>
    <t>성명</t>
  </si>
  <si>
    <t>텍스트</t>
  </si>
  <si>
    <t>50자 이내</t>
  </si>
  <si>
    <t>C2:D2</t>
  </si>
  <si>
    <t>D2:E2</t>
  </si>
  <si>
    <t>연락처</t>
  </si>
  <si>
    <t>전화번호</t>
  </si>
  <si>
    <t>010-0000-0000 형식 권장</t>
  </si>
  <si>
    <t>E2 이후</t>
  </si>
  <si>
    <t>G2:J2</t>
  </si>
  <si>
    <t>일정</t>
  </si>
  <si>
    <t>택배 발송일</t>
  </si>
  <si>
    <t>조건부</t>
  </si>
  <si>
    <t>택배 선택 시 필수</t>
  </si>
  <si>
    <t>A3:C3</t>
  </si>
  <si>
    <t>C3</t>
  </si>
  <si>
    <t>배달일시</t>
  </si>
  <si>
    <t>날짜/시간</t>
  </si>
  <si>
    <t>배달 선택 시 필수</t>
  </si>
  <si>
    <t>D3 이후</t>
  </si>
  <si>
    <t>F3:J3</t>
  </si>
  <si>
    <t>거래처</t>
  </si>
  <si>
    <t>거래처 문의 담당자</t>
  </si>
  <si>
    <t>A6</t>
  </si>
  <si>
    <t>C6:D6</t>
  </si>
  <si>
    <t>거래처 담당자 연락처</t>
  </si>
  <si>
    <t>E6</t>
  </si>
  <si>
    <t>G6:J6</t>
  </si>
  <si>
    <t>보내는 사람</t>
  </si>
  <si>
    <t>보내는 사람/연락처/주소</t>
  </si>
  <si>
    <t>주소 필수</t>
  </si>
  <si>
    <t>A7:A8</t>
  </si>
  <si>
    <t>C7:J8</t>
  </si>
  <si>
    <t>상품</t>
  </si>
  <si>
    <t>주문 제품명/수량/요청사항</t>
  </si>
  <si>
    <t>반복 행</t>
  </si>
  <si>
    <t>수량은 1 이상 숫자</t>
  </si>
  <si>
    <t>A9:J14</t>
  </si>
  <si>
    <t>A10:J14</t>
  </si>
  <si>
    <t>상세</t>
  </si>
  <si>
    <t>인사장번호/명함 유무/자체 인사장 유무</t>
  </si>
  <si>
    <t>N</t>
  </si>
  <si>
    <t>유, 무</t>
  </si>
  <si>
    <t>A16:J17</t>
  </si>
  <si>
    <t>[ 신앙촌 상회 ]    □ 택배   □ 배달</t>
  </si>
  <si>
    <t>주문
일자</t>
  </si>
  <si>
    <t>${주문일자}</t>
  </si>
  <si>
    <t>중앙</t>
  </si>
  <si>
    <t>${소속/매장}</t>
  </si>
  <si>
    <t>${성명}</t>
  </si>
  <si>
    <t>${연락처}</t>
  </si>
  <si>
    <t>${택배발송일}</t>
  </si>
  <si>
    <t>배달일(날짜,시간)</t>
  </si>
  <si>
    <t>${배달일시}</t>
  </si>
  <si>
    <t>[ 선물세트 주문 내역 ]</t>
  </si>
  <si>
    <t>${거래처담당자}</t>
  </si>
  <si>
    <t>${거래처담당자연락처}</t>
  </si>
  <si>
    <t>${보내는사람}</t>
  </si>
  <si>
    <t>보내는 연락처</t>
  </si>
  <si>
    <t>${보내는연락처}</t>
  </si>
  <si>
    <t>보내는 주소</t>
  </si>
  <si>
    <t>${보내는주소}</t>
  </si>
  <si>
    <t>주문 제품명</t>
  </si>
  <si>
    <t>주문 수량</t>
  </si>
  <si>
    <t>주문 요청 사항</t>
  </si>
  <si>
    <t>${상품명1}</t>
  </si>
  <si>
    <t>${수량1}</t>
  </si>
  <si>
    <t>${요청사항1}</t>
  </si>
  <si>
    <t>${상품명2}</t>
  </si>
  <si>
    <t>${수량2}</t>
  </si>
  <si>
    <t>${요청사항2}</t>
  </si>
  <si>
    <t>${상품명3}</t>
  </si>
  <si>
    <t>${수량3}</t>
  </si>
  <si>
    <t>${요청사항3}</t>
  </si>
  <si>
    <t>${상품명4}</t>
  </si>
  <si>
    <t>${수량4}</t>
  </si>
  <si>
    <t>${요청사항4}</t>
  </si>
  <si>
    <t>${상품명5}</t>
  </si>
  <si>
    <t>${수량5}</t>
  </si>
  <si>
    <t>${요청사항5}</t>
  </si>
  <si>
    <t>[ 선물세트 주문 상세 내역 ]</t>
  </si>
  <si>
    <t>인사장번호</t>
  </si>
  <si>
    <t>${인사장번호}</t>
  </si>
  <si>
    <t>은행 명함 유. 무</t>
  </si>
  <si>
    <t>${은행명함유무}</t>
  </si>
  <si>
    <t>은행 자체 인사장 유. 무</t>
  </si>
  <si>
    <t>${은행자체인사장유무 / 특기사항}</t>
  </si>
  <si>
    <t>1. 택배 주문서 작성 기준 : 발송일 기준 최소 5일 전에 작성해주셔야 합니다.
2. 택배 발송 기준 : [ ①주문서, ②인사장, ③고객주소 ] 3가지 모두 취합 될 시 발송이 시작됩니다.
3. 매장별 택배주소 접수처 : 고객 택배주소는 반드시 파일 작성 후 메일로 접수 합니다.</t>
  </si>
  <si>
    <t>매장</t>
  </si>
  <si>
    <t>팩스번호</t>
  </si>
  <si>
    <t>메일주소</t>
  </si>
  <si>
    <t>남부(기장)</t>
  </si>
  <si>
    <t>051-720-7254~5
010-3138-7320(김지혜팀장)</t>
  </si>
  <si>
    <t>051-721-1448</t>
  </si>
  <si>
    <t>zionsauce@naver.com</t>
  </si>
  <si>
    <t>서부(소사)</t>
  </si>
  <si>
    <t>051-720-7254~5
010-3227-1132(이연희학생관)</t>
  </si>
  <si>
    <t>sanc7020@naver.com</t>
  </si>
  <si>
    <t>중부(덕소)</t>
  </si>
  <si>
    <t>070-4490-8456
010-7564-1576</t>
  </si>
  <si>
    <t>031-521-1469</t>
  </si>
  <si>
    <t>dud386@naver.com</t>
  </si>
  <si>
    <t>누적 데이터 필드 정의</t>
  </si>
  <si>
    <t>테이블</t>
  </si>
  <si>
    <t>필드ID</t>
  </si>
  <si>
    <t>화면 표시명</t>
  </si>
  <si>
    <t>자료형</t>
  </si>
  <si>
    <t>출력 위치</t>
  </si>
  <si>
    <t>주문마스터</t>
  </si>
  <si>
    <t>order_id</t>
  </si>
  <si>
    <t>주문번호</t>
  </si>
  <si>
    <t>문자</t>
  </si>
  <si>
    <t>자동 생성, 중복 불가</t>
  </si>
  <si>
    <t>신규</t>
  </si>
  <si>
    <t>파일명/관리</t>
  </si>
  <si>
    <t>예: ORD-202601-0001</t>
  </si>
  <si>
    <t>order_status</t>
  </si>
  <si>
    <t>주문상태</t>
  </si>
  <si>
    <t>관리용</t>
  </si>
  <si>
    <t>상태별 조회</t>
  </si>
  <si>
    <t>order_type</t>
  </si>
  <si>
    <t>라디오 버튼</t>
  </si>
  <si>
    <t>order_date</t>
  </si>
  <si>
    <t>H1:J1</t>
  </si>
  <si>
    <t>입력 기본값 오늘</t>
  </si>
  <si>
    <t>branch_name</t>
  </si>
  <si>
    <t>기준정보 선택 권장</t>
  </si>
  <si>
    <t>예: 기장</t>
  </si>
  <si>
    <t>requester_name</t>
  </si>
  <si>
    <t>requester_phone</t>
  </si>
  <si>
    <t>하이픈 허용</t>
  </si>
  <si>
    <t>ship_date</t>
  </si>
  <si>
    <t>최소 5일 전 경고</t>
  </si>
  <si>
    <t>delivery_datetime</t>
  </si>
  <si>
    <t>날짜시간</t>
  </si>
  <si>
    <t>client_contact_name</t>
  </si>
  <si>
    <t>client_contact_phone</t>
  </si>
  <si>
    <t>sender_name</t>
  </si>
  <si>
    <t>A7</t>
  </si>
  <si>
    <t>C7:D7</t>
  </si>
  <si>
    <t>sender_phone</t>
  </si>
  <si>
    <t>E7</t>
  </si>
  <si>
    <t>G7:J7</t>
  </si>
  <si>
    <t>sender_address</t>
  </si>
  <si>
    <t>주소</t>
  </si>
  <si>
    <t>A8</t>
  </si>
  <si>
    <t>C8:J8</t>
  </si>
  <si>
    <t>상품상세</t>
  </si>
  <si>
    <t>line_no</t>
  </si>
  <si>
    <t>순번</t>
  </si>
  <si>
    <t>숫자</t>
  </si>
  <si>
    <t>1 이상</t>
  </si>
  <si>
    <t>주문번호와 함께 키</t>
  </si>
  <si>
    <t>product_name</t>
  </si>
  <si>
    <t>상품 기준정보 선택 권장</t>
  </si>
  <si>
    <t>A9:B14</t>
  </si>
  <si>
    <t>A10:B14</t>
  </si>
  <si>
    <t>quantity</t>
  </si>
  <si>
    <t>1 이상 정수</t>
  </si>
  <si>
    <t>C9:D14</t>
  </si>
  <si>
    <t>C10:D14</t>
  </si>
  <si>
    <t>request_note</t>
  </si>
  <si>
    <t>500자 이내</t>
  </si>
  <si>
    <t>E9:J14</t>
  </si>
  <si>
    <t>E10:J14</t>
  </si>
  <si>
    <t>greeting_card_no</t>
  </si>
  <si>
    <t>A16:D16</t>
  </si>
  <si>
    <t>C16:D16</t>
  </si>
  <si>
    <t>bank_card_yn</t>
  </si>
  <si>
    <t>은행 명함 유무</t>
  </si>
  <si>
    <t>E16:J16</t>
  </si>
  <si>
    <t>G16:J16</t>
  </si>
  <si>
    <t>bank_own_card_yn</t>
  </si>
  <si>
    <t>은행 자체 인사장 유무</t>
  </si>
  <si>
    <t>A17:J17</t>
  </si>
  <si>
    <t>C17:J17</t>
  </si>
  <si>
    <t>special_note</t>
  </si>
  <si>
    <t>특기사항</t>
  </si>
  <si>
    <t>1000자 이내</t>
  </si>
  <si>
    <t>상세 영역</t>
  </si>
  <si>
    <t>출력 하단 반영</t>
  </si>
  <si>
    <t>주문마스터 누적 데이터 양식 - 주문 1건당 1행</t>
  </si>
  <si>
    <t>보내는사람</t>
  </si>
  <si>
    <t>보내는연락처</t>
  </si>
  <si>
    <t>보내는주소</t>
  </si>
  <si>
    <t>출력파일명</t>
  </si>
  <si>
    <t>등록일시</t>
  </si>
  <si>
    <t>수정일시</t>
  </si>
  <si>
    <t>담당자</t>
  </si>
  <si>
    <t>ORD-202601-0001</t>
  </si>
  <si>
    <t>택배</t>
  </si>
  <si>
    <t>이순희</t>
  </si>
  <si>
    <t>010-1234-5678</t>
  </si>
  <si>
    <t>가나다</t>
  </si>
  <si>
    <t>부산광역시 기장군 예시로 1</t>
  </si>
  <si>
    <t>1번</t>
  </si>
  <si>
    <t>유</t>
  </si>
  <si>
    <t>무</t>
  </si>
  <si>
    <t>명진1호 - 업체 명함 오른쪽 상단</t>
  </si>
  <si>
    <t>샘플</t>
  </si>
  <si>
    <t>ORD-202601-0002</t>
  </si>
  <si>
    <t>출력완료</t>
  </si>
  <si>
    <t>배달</t>
  </si>
  <si>
    <t>김주문</t>
  </si>
  <si>
    <t>010-2222-3333</t>
  </si>
  <si>
    <t>홍담당</t>
  </si>
  <si>
    <t>010-4444-5555</t>
  </si>
  <si>
    <t>경기도 부천시 예시로 2</t>
  </si>
  <si>
    <t>배달 전 연락</t>
  </si>
  <si>
    <t>상품상세 누적 데이터 양식 - 상품 1줄당 1행</t>
  </si>
  <si>
    <t>상품코드</t>
  </si>
  <si>
    <t>주문제품명</t>
  </si>
  <si>
    <t>주문수량</t>
  </si>
  <si>
    <t>주문요청사항</t>
  </si>
  <si>
    <t>단가(선택)</t>
  </si>
  <si>
    <t>금액(선택)</t>
  </si>
  <si>
    <t>출고상태</t>
  </si>
  <si>
    <t>명진 1호</t>
  </si>
  <si>
    <t>개별택배</t>
  </si>
  <si>
    <t>대기</t>
  </si>
  <si>
    <t>S5호</t>
  </si>
  <si>
    <t>명진 2호</t>
  </si>
  <si>
    <t>완료</t>
  </si>
  <si>
    <t>특선 세트</t>
  </si>
  <si>
    <t>개발 검수 기준 및 일정 제안</t>
  </si>
  <si>
    <t>검수 항목</t>
  </si>
  <si>
    <t>합격 기준</t>
  </si>
  <si>
    <t>확인 방법</t>
  </si>
  <si>
    <t>중요도</t>
  </si>
  <si>
    <t>입력</t>
  </si>
  <si>
    <t>필수값 검사</t>
  </si>
  <si>
    <t>주문구분, 주문일자, 성명, 연락처, 상품 1줄 이상 누락 시 저장 불가</t>
  </si>
  <si>
    <t>신규 주문 저장 테스트</t>
  </si>
  <si>
    <t>상</t>
  </si>
  <si>
    <t>상품행 추가/삭제 후 저장 시 상품상세에 정확히 N행 저장</t>
  </si>
  <si>
    <t>3개 상품 입력 후 데이터 확인</t>
  </si>
  <si>
    <t>원본 첫 시트와 동일한 정보가 지정 위치에 출력</t>
  </si>
  <si>
    <t>PDF/인쇄 미리보기 확인</t>
  </si>
  <si>
    <t>주문번호 연결</t>
  </si>
  <si>
    <t>주문마스터 1행과 상품상세 N행이 같은 주문번호로 연결</t>
  </si>
  <si>
    <t>엑셀 내보내기 확인</t>
  </si>
  <si>
    <t>수식/집계</t>
  </si>
  <si>
    <t>상품건수와 총수량이 상품상세 기준과 일치</t>
  </si>
  <si>
    <t>샘플 주문 비교</t>
  </si>
  <si>
    <t>중</t>
  </si>
  <si>
    <t>상태 변경 이력</t>
  </si>
  <si>
    <t>상태 변경 시 변경자와 변경일시 확인 가능</t>
  </si>
  <si>
    <t>상태 변경 테스트</t>
  </si>
  <si>
    <t>규칙</t>
  </si>
  <si>
    <t>택배 5일 전 경고</t>
  </si>
  <si>
    <t>택배 발송일이 주문일자 기준 5일 미만이면 경고 표시</t>
  </si>
  <si>
    <t>날짜 테스트</t>
  </si>
  <si>
    <t>저장 차단 여부는 협의</t>
  </si>
  <si>
    <t>엑셀</t>
  </si>
  <si>
    <t>내보내기</t>
  </si>
  <si>
    <t>06, 07 시트 양식과 같은 컬럼 순서로 엑셀 다운로드</t>
  </si>
  <si>
    <t>다운로드 파일 비교</t>
  </si>
  <si>
    <t>백업</t>
  </si>
  <si>
    <t>데이터 백업</t>
  </si>
  <si>
    <t>일일 백업 또는 수동 백업/복구 기능 제공</t>
  </si>
  <si>
    <t>복구 시나리오 확인</t>
  </si>
  <si>
    <t>명절 운영 대비</t>
  </si>
  <si>
    <t>일정 제안</t>
  </si>
  <si>
    <t>기간</t>
  </si>
  <si>
    <t>주요 작업</t>
  </si>
  <si>
    <t>검토자</t>
  </si>
  <si>
    <t>완료 조건</t>
  </si>
  <si>
    <t>1주</t>
  </si>
  <si>
    <t>요구사항 확정, 기존 엑셀 양식 분석, 화면 설계</t>
  </si>
  <si>
    <t>발주자/업체</t>
  </si>
  <si>
    <t>화면설계서, 데이터설계서</t>
  </si>
  <si>
    <t>입력항목과 출력 양식 확정</t>
  </si>
  <si>
    <t>2~3주</t>
  </si>
  <si>
    <t>주문 입력, 상품상세, 저장, 목록 구현</t>
  </si>
  <si>
    <t>업체</t>
  </si>
  <si>
    <t>개발 1차본</t>
  </si>
  <si>
    <t>주문 저장/조회 가능</t>
  </si>
  <si>
    <t>1~2주</t>
  </si>
  <si>
    <t>주문서 출력, PDF/엑셀 내보내기, 검증 규칙 구현</t>
  </si>
  <si>
    <t>출력 기능</t>
  </si>
  <si>
    <t>출력물 검수 통과</t>
  </si>
  <si>
    <t>사용자 테스트, 오류 수정, 운영 교육</t>
  </si>
  <si>
    <t>최종본, 매뉴얼</t>
  </si>
  <si>
    <t>명절 운영 전 배포</t>
  </si>
  <si>
    <r>
      <rPr>
        <b/>
        <sz val="11"/>
        <color rgb="FF222222"/>
        <rFont val="맑은 고딕"/>
        <family val="3"/>
        <charset val="129"/>
      </rPr>
      <t>데이터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저장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확인</t>
    </r>
    <phoneticPr fontId="7" type="noConversion"/>
  </si>
  <si>
    <r>
      <t>01_</t>
    </r>
    <r>
      <rPr>
        <sz val="11"/>
        <color rgb="FF222222"/>
        <rFont val="맑은 고딕"/>
        <family val="3"/>
        <charset val="129"/>
      </rPr>
      <t>앱개발</t>
    </r>
    <r>
      <rPr>
        <sz val="11"/>
        <color rgb="FF222222"/>
        <rFont val="Arial"/>
        <family val="2"/>
      </rPr>
      <t>_</t>
    </r>
    <r>
      <rPr>
        <sz val="11"/>
        <color rgb="FF222222"/>
        <rFont val="맑은 고딕"/>
        <family val="3"/>
        <charset val="129"/>
      </rPr>
      <t>범위와</t>
    </r>
    <r>
      <rPr>
        <sz val="11"/>
        <color rgb="FF222222"/>
        <rFont val="Arial"/>
        <family val="2"/>
      </rPr>
      <t xml:space="preserve"> 02_</t>
    </r>
    <r>
      <rPr>
        <sz val="11"/>
        <color rgb="FF222222"/>
        <rFont val="맑은 고딕"/>
        <family val="3"/>
        <charset val="129"/>
      </rPr>
      <t>업무흐름을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기준으로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견적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범위를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협의합니다</t>
    </r>
    <r>
      <rPr>
        <sz val="11"/>
        <color rgb="FF222222"/>
        <rFont val="Arial"/>
        <family val="2"/>
      </rPr>
      <t>.</t>
    </r>
    <phoneticPr fontId="7" type="noConversion"/>
  </si>
  <si>
    <r>
      <rPr>
        <b/>
        <sz val="11"/>
        <color rgb="FF222222"/>
        <rFont val="맑은 고딕"/>
        <family val="3"/>
        <charset val="129"/>
      </rPr>
      <t>앱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형태</t>
    </r>
    <phoneticPr fontId="7" type="noConversion"/>
  </si>
  <si>
    <r>
      <t xml:space="preserve">DB </t>
    </r>
    <r>
      <rPr>
        <sz val="11"/>
        <color rgb="FF222222"/>
        <rFont val="맑은 고딕"/>
        <family val="3"/>
        <charset val="129"/>
      </rPr>
      <t>저장</t>
    </r>
    <r>
      <rPr>
        <sz val="11"/>
        <color rgb="FF222222"/>
        <rFont val="Arial"/>
        <family val="2"/>
      </rPr>
      <t xml:space="preserve"> + </t>
    </r>
    <r>
      <rPr>
        <sz val="11"/>
        <color rgb="FF222222"/>
        <rFont val="맑은 고딕"/>
        <family val="3"/>
        <charset val="129"/>
      </rPr>
      <t>엑셀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내보내기</t>
    </r>
    <phoneticPr fontId="7" type="noConversion"/>
  </si>
  <si>
    <r>
      <rPr>
        <sz val="11"/>
        <color rgb="FF222222"/>
        <rFont val="맑은 고딕"/>
        <family val="3"/>
        <charset val="129"/>
      </rPr>
      <t>현재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엑셀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수기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업무를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앱으로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바꾸는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핵심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범위입니다</t>
    </r>
    <r>
      <rPr>
        <sz val="11"/>
        <color rgb="FF222222"/>
        <rFont val="Arial"/>
        <family val="2"/>
      </rPr>
      <t>.</t>
    </r>
    <phoneticPr fontId="7" type="noConversion"/>
  </si>
  <si>
    <r>
      <rPr>
        <sz val="11"/>
        <color rgb="FF222222"/>
        <rFont val="맑은 고딕"/>
        <family val="3"/>
        <charset val="129"/>
      </rPr>
      <t>명절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주문량이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많을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때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누락과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중복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작업을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줄일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수</t>
    </r>
    <r>
      <rPr>
        <sz val="11"/>
        <color rgb="FF222222"/>
        <rFont val="Arial"/>
        <family val="2"/>
      </rPr>
      <t xml:space="preserve"> </t>
    </r>
    <r>
      <rPr>
        <sz val="11"/>
        <color rgb="FF222222"/>
        <rFont val="맑은 고딕"/>
        <family val="3"/>
        <charset val="129"/>
      </rPr>
      <t>있습니다</t>
    </r>
    <r>
      <rPr>
        <sz val="11"/>
        <color rgb="FF222222"/>
        <rFont val="Arial"/>
        <family val="2"/>
      </rPr>
      <t>.</t>
    </r>
    <phoneticPr fontId="7" type="noConversion"/>
  </si>
  <si>
    <r>
      <rPr>
        <b/>
        <sz val="11"/>
        <color rgb="FF222222"/>
        <rFont val="맑은 고딕"/>
        <family val="3"/>
        <charset val="129"/>
      </rPr>
      <t>최소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개발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범위</t>
    </r>
    <phoneticPr fontId="7" type="noConversion"/>
  </si>
  <si>
    <t>배달/택배</t>
    <phoneticPr fontId="7" type="noConversion"/>
  </si>
  <si>
    <t>여러건일경우 엑셀업로드 가능여부 확인</t>
    <phoneticPr fontId="7" type="noConversion"/>
  </si>
  <si>
    <t>작업지시서형태는 동일하게 출력하고 엑셀로 저장되는 형식으로 의뢰해보면 좋겠습니다.</t>
  </si>
  <si>
    <t>사장님도 본인이 주문한 건을 앱을 통해서 확인가능하고 수정도 가능하도록 하는것도 좋을거 같습니다.</t>
  </si>
  <si>
    <t>대량건은 엑셀업로드 가능하면 더욱 좋음</t>
    <phoneticPr fontId="7" type="noConversion"/>
  </si>
  <si>
    <t>주문번호✓</t>
  </si>
  <si>
    <t>주문구분✓</t>
  </si>
  <si>
    <t>주문일자✓</t>
  </si>
  <si>
    <t>중앙✓</t>
  </si>
  <si>
    <t>연락처✓</t>
  </si>
  <si>
    <t>택배발송일✓</t>
  </si>
  <si>
    <t>배달일시✓</t>
  </si>
  <si>
    <t>거래처담당자✓</t>
  </si>
  <si>
    <t>거래처담당자연락처✓</t>
  </si>
  <si>
    <t>(주문자)성명✓</t>
  </si>
  <si>
    <t>주문기본정보</t>
  </si>
  <si>
    <t>총수량✓</t>
  </si>
  <si>
    <t>상품건수✓</t>
  </si>
  <si>
    <t>특기사항✓</t>
  </si>
  <si>
    <t>은행자체인사장유무✓</t>
  </si>
  <si>
    <t>은행명함유무✓</t>
  </si>
  <si>
    <t>인사장번호✓</t>
  </si>
  <si>
    <t>택배인경우, 배달인경우 export시 결과가 따로 나옴</t>
  </si>
  <si>
    <t>ORD-2026-XXXXX</t>
  </si>
  <si>
    <t>접수완료</t>
  </si>
  <si>
    <t>서대문남</t>
  </si>
  <si>
    <t>선태영</t>
  </si>
  <si>
    <t>2번</t>
  </si>
  <si>
    <t>null</t>
  </si>
  <si>
    <t>ORD-2026-802612-1_선물세트주문서.pdf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</si>
</sst>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16">
    <font>
      <sz val="11"/>
      <name val="Carlito"/>
    </font>
    <font>
      <b/>
      <sz val="11"/>
      <color rgb="FFFFFFFF"/>
      <name val="Carlito"/>
    </font>
    <font>
      <sz val="11"/>
      <color rgb="FF222222"/>
      <name val="Carlito"/>
    </font>
    <font>
      <b/>
      <sz val="11"/>
      <color rgb="FF222222"/>
      <name val="Carlito"/>
    </font>
    <font>
      <b/>
      <sz val="11"/>
      <name val="Carlito"/>
    </font>
    <font>
      <sz val="11"/>
      <color rgb="FF555555"/>
      <name val="Carlito"/>
    </font>
    <font>
      <b/>
      <sz val="11"/>
      <color rgb="FFFF0000"/>
      <name val="Carlito"/>
    </font>
    <font>
      <sz val="8"/>
      <name val="돋움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11"/>
      <color rgb="FF222222"/>
      <name val="Carlito"/>
      <family val="3"/>
      <charset val="129"/>
    </font>
    <font>
      <sz val="11"/>
      <color rgb="FF222222"/>
      <name val="맑은 고딕"/>
      <family val="3"/>
      <charset val="129"/>
    </font>
    <font>
      <sz val="11"/>
      <color rgb="FF222222"/>
      <name val="Arial"/>
      <family val="2"/>
    </font>
    <font>
      <sz val="11"/>
      <color rgb="FF222222"/>
      <name val="Carlito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0F766E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22222"/>
      </left>
      <right/>
      <top style="medium">
        <color rgb="FF222222"/>
      </top>
      <bottom style="medium">
        <color rgb="FF222222"/>
      </bottom>
      <diagonal/>
    </border>
    <border>
      <left/>
      <right/>
      <top style="medium">
        <color rgb="FF222222"/>
      </top>
      <bottom style="medium">
        <color rgb="FF222222"/>
      </bottom>
      <diagonal/>
    </border>
    <border>
      <left/>
      <right style="medium">
        <color rgb="FF222222"/>
      </right>
      <top style="medium">
        <color rgb="FF222222"/>
      </top>
      <bottom style="medium">
        <color rgb="FF222222"/>
      </bottom>
      <diagonal/>
    </border>
    <border>
      <left/>
      <right/>
      <top/>
      <bottom style="medium">
        <color rgb="FF222222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top" wrapText="1"/>
    </xf>
    <xf numFmtId="0" fontId="14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5" fillId="0" borderId="0" xfId="0" applyFont="1"/>
    <xf numFmtId="0" fontId="15" fillId="9" borderId="0" xfId="0" applyFont="1" applyFill="1"/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rlito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ScopeTable" displayName="AppScopeTable" ref="A3:F12">
  <tableColumns count="6">
    <tableColumn id="1" xr3:uid="{00000000-0010-0000-0000-000001000000}" name="구분"/>
    <tableColumn id="2" xr3:uid="{00000000-0010-0000-0000-000002000000}" name="기능"/>
    <tableColumn id="3" xr3:uid="{00000000-0010-0000-0000-000003000000}" name="상세 요구사항"/>
    <tableColumn id="4" xr3:uid="{00000000-0010-0000-0000-000004000000}" name="산출물/동작"/>
    <tableColumn id="5" xr3:uid="{00000000-0010-0000-0000-000005000000}" name="우선순위"/>
    <tableColumn id="6" xr3:uid="{00000000-0010-0000-0000-000006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flowTable" displayName="WorkflowTable" ref="A3:G11">
  <tableColumns count="7">
    <tableColumn id="1" xr3:uid="{00000000-0010-0000-0100-000001000000}" name="단계"/>
    <tableColumn id="2" xr3:uid="{00000000-0010-0000-0100-000002000000}" name="업무"/>
    <tableColumn id="3" xr3:uid="{00000000-0010-0000-0100-000003000000}" name="담당"/>
    <tableColumn id="4" xr3:uid="{00000000-0010-0000-0100-000004000000}" name="입력/확인 내용"/>
    <tableColumn id="5" xr3:uid="{00000000-0010-0000-0100-000005000000}" name="앱 처리"/>
    <tableColumn id="6" xr3:uid="{00000000-0010-0000-0100-000006000000}" name="산출물"/>
    <tableColumn id="7" xr3:uid="{00000000-0010-0000-0100-000007000000}" name="검수 포인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reenTable" displayName="ScreenTable" ref="A3:G9">
  <tableColumns count="7">
    <tableColumn id="1" xr3:uid="{00000000-0010-0000-0200-000001000000}" name="화면ID"/>
    <tableColumn id="2" xr3:uid="{00000000-0010-0000-0200-000002000000}" name="화면명"/>
    <tableColumn id="3" xr3:uid="{00000000-0010-0000-0200-000003000000}" name="주요 입력/표시"/>
    <tableColumn id="4" xr3:uid="{00000000-0010-0000-0200-000004000000}" name="상세 설명"/>
    <tableColumn id="5" xr3:uid="{00000000-0010-0000-0200-000005000000}" name="버튼"/>
    <tableColumn id="6" xr3:uid="{00000000-0010-0000-0200-000006000000}" name="권한"/>
    <tableColumn id="7" xr3:uid="{00000000-0010-0000-0200-000007000000}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putGroupTable" displayName="InputGroupTable" ref="A14:G26">
  <tableColumns count="7">
    <tableColumn id="1" xr3:uid="{00000000-0010-0000-0300-000001000000}" name="그룹"/>
    <tableColumn id="2" xr3:uid="{00000000-0010-0000-0300-000002000000}" name="입력항목"/>
    <tableColumn id="3" xr3:uid="{00000000-0010-0000-0300-000003000000}" name="형태"/>
    <tableColumn id="4" xr3:uid="{00000000-0010-0000-0300-000004000000}" name="필수"/>
    <tableColumn id="5" xr3:uid="{00000000-0010-0000-0300-000005000000}" name="검증/선택값"/>
    <tableColumn id="6" xr3:uid="{00000000-0010-0000-0300-000006000000}" name="원본 위치"/>
    <tableColumn id="7" xr3:uid="{00000000-0010-0000-0300-000007000000}" name="출력 반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efinitionTable" displayName="DataDefinitionTable" ref="A3:I25">
  <tableColumns count="9">
    <tableColumn id="1" xr3:uid="{00000000-0010-0000-0400-000001000000}" name="테이블"/>
    <tableColumn id="2" xr3:uid="{00000000-0010-0000-0400-000002000000}" name="필드ID"/>
    <tableColumn id="3" xr3:uid="{00000000-0010-0000-0400-000003000000}" name="화면 표시명"/>
    <tableColumn id="4" xr3:uid="{00000000-0010-0000-0400-000004000000}" name="자료형"/>
    <tableColumn id="5" xr3:uid="{00000000-0010-0000-0400-000005000000}" name="필수"/>
    <tableColumn id="6" xr3:uid="{00000000-0010-0000-0400-000006000000}" name="검증/선택값"/>
    <tableColumn id="7" xr3:uid="{00000000-0010-0000-0400-000007000000}" name="원본 위치"/>
    <tableColumn id="8" xr3:uid="{00000000-0010-0000-0400-000008000000}" name="출력 위치"/>
    <tableColumn id="9" xr3:uid="{00000000-0010-0000-0400-000009000000}" name="비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rderMasterData" displayName="OrderMasterData" ref="A5:Z105">
  <tableColumns count="26">
    <tableColumn id="1" xr3:uid="{00000000-0010-0000-0500-000001000000}" name="주문번호✓"/>
    <tableColumn id="2" xr3:uid="{00000000-0010-0000-0500-000002000000}" name="주문상태"/>
    <tableColumn id="3" xr3:uid="{00000000-0010-0000-0500-000003000000}" name="주문구분✓"/>
    <tableColumn id="4" xr3:uid="{00000000-0010-0000-0500-000004000000}" name="주문일자✓"/>
    <tableColumn id="5" xr3:uid="{00000000-0010-0000-0500-000005000000}" name="소속/매장"/>
    <tableColumn id="27" xr3:uid="{F0ECD5D5-A980-4C86-B5D6-75FA08D970AB}" name="중앙✓" dataDxfId="1" dataCellStyle="Normal"/>
    <tableColumn id="6" xr3:uid="{00000000-0010-0000-0500-000006000000}" name="(주문자)성명✓"/>
    <tableColumn id="7" xr3:uid="{00000000-0010-0000-0500-000007000000}" name="연락처✓"/>
    <tableColumn id="8" xr3:uid="{00000000-0010-0000-0500-000008000000}" name="택배발송일✓"/>
    <tableColumn id="9" xr3:uid="{00000000-0010-0000-0500-000009000000}" name="배달일시✓"/>
    <tableColumn id="10" xr3:uid="{00000000-0010-0000-0500-00000A000000}" name="거래처담당자✓"/>
    <tableColumn id="11" xr3:uid="{00000000-0010-0000-0500-00000B000000}" name="거래처담당자연락처✓"/>
    <tableColumn id="12" xr3:uid="{00000000-0010-0000-0500-00000C000000}" name="보내는사람"/>
    <tableColumn id="13" xr3:uid="{00000000-0010-0000-0500-00000D000000}" name="보내는연락처"/>
    <tableColumn id="14" xr3:uid="{00000000-0010-0000-0500-00000E000000}" name="보내는주소"/>
    <tableColumn id="15" xr3:uid="{00000000-0010-0000-0500-00000F000000}" name="인사장번호✓"/>
    <tableColumn id="16" xr3:uid="{00000000-0010-0000-0500-000010000000}" name="은행명함유무✓"/>
    <tableColumn id="17" xr3:uid="{00000000-0010-0000-0500-000011000000}" name="은행자체인사장유무✓"/>
    <tableColumn id="18" xr3:uid="{00000000-0010-0000-0500-000012000000}" name="특기사항✓"/>
    <tableColumn id="19" xr3:uid="{00000000-0010-0000-0500-000013000000}" name="상품건수✓"/>
    <tableColumn id="20" xr3:uid="{00000000-0010-0000-0500-000014000000}" name="총수량✓"/>
    <tableColumn id="21" xr3:uid="{00000000-0010-0000-0500-000015000000}" name="출력파일명"/>
    <tableColumn id="22" xr3:uid="{00000000-0010-0000-0500-000016000000}" name="등록일시"/>
    <tableColumn id="23" xr3:uid="{00000000-0010-0000-0500-000017000000}" name="수정일시"/>
    <tableColumn id="24" xr3:uid="{00000000-0010-0000-0500-000018000000}" name="담당자"/>
    <tableColumn id="25" xr3:uid="{00000000-0010-0000-0500-000019000000}" name="비고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rderItemData" displayName="OrderItemData" ref="A3:K103">
  <tableColumns count="11">
    <tableColumn id="1" xr3:uid="{00000000-0010-0000-0600-000001000000}" name="주문번호"/>
    <tableColumn id="2" xr3:uid="{00000000-0010-0000-0600-000002000000}" name="순번"/>
    <tableColumn id="11" xr3:uid="{1D249866-14A3-4750-96D3-61F19A0CFB20}" name="배달/택배" dataDxfId="0" dataCellStyle="Normal"/>
    <tableColumn id="3" xr3:uid="{00000000-0010-0000-0600-000003000000}" name="상품코드"/>
    <tableColumn id="4" xr3:uid="{00000000-0010-0000-0600-000004000000}" name="주문제품명"/>
    <tableColumn id="5" xr3:uid="{00000000-0010-0000-0600-000005000000}" name="주문수량"/>
    <tableColumn id="6" xr3:uid="{00000000-0010-0000-0600-000006000000}" name="주문요청사항"/>
    <tableColumn id="7" xr3:uid="{00000000-0010-0000-0600-000007000000}" name="단가(선택)"/>
    <tableColumn id="8" xr3:uid="{00000000-0010-0000-0600-000008000000}" name="금액(선택)"/>
    <tableColumn id="9" xr3:uid="{00000000-0010-0000-0600-000009000000}" name="출고상태"/>
    <tableColumn id="10" xr3:uid="{00000000-0010-0000-0600-00000A000000}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ceptanceTable" displayName="AcceptanceTable" ref="A3:F12">
  <tableColumns count="6">
    <tableColumn id="1" xr3:uid="{00000000-0010-0000-0700-000001000000}" name="구분"/>
    <tableColumn id="2" xr3:uid="{00000000-0010-0000-0700-000002000000}" name="검수 항목"/>
    <tableColumn id="3" xr3:uid="{00000000-0010-0000-0700-000003000000}" name="합격 기준"/>
    <tableColumn id="4" xr3:uid="{00000000-0010-0000-0700-000004000000}" name="확인 방법"/>
    <tableColumn id="5" xr3:uid="{00000000-0010-0000-0700-000005000000}" name="중요도"/>
    <tableColumn id="6" xr3:uid="{00000000-0010-0000-0700-000006000000}" name="비고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heduleTable" displayName="ScheduleTable" ref="A17:F21">
  <tableColumns count="6">
    <tableColumn id="1" xr3:uid="{00000000-0010-0000-0800-000001000000}" name="단계"/>
    <tableColumn id="2" xr3:uid="{00000000-0010-0000-0800-000002000000}" name="기간"/>
    <tableColumn id="3" xr3:uid="{00000000-0010-0000-0800-000003000000}" name="주요 작업"/>
    <tableColumn id="4" xr3:uid="{00000000-0010-0000-0800-000004000000}" name="검토자"/>
    <tableColumn id="5" xr3:uid="{00000000-0010-0000-0800-000005000000}" name="산출물"/>
    <tableColumn id="6" xr3:uid="{00000000-0010-0000-0800-000006000000}" name="완료 조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activeCell="C15" sqref="C15"/>
    </sheetView>
  </sheetViews>
  <sheetFormatPr defaultRowHeight="14.25"/>
  <cols>
    <col min="1" max="1" width="17.875" customWidth="1"/>
    <col min="2" max="2" width="30" customWidth="1"/>
    <col min="3" max="3" width="98.625" customWidth="1"/>
    <col min="4" max="6" width="18" customWidth="1"/>
    <col min="7" max="8" width="22" customWidth="1"/>
  </cols>
  <sheetData>
    <row r="1" spans="1:8" ht="34.1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46199</v>
      </c>
      <c r="G2" s="2" t="s">
        <v>6</v>
      </c>
      <c r="H2" s="2" t="s">
        <v>7</v>
      </c>
    </row>
    <row r="3" spans="1:8" ht="28.15" customHeight="1"/>
    <row r="4" spans="1:8">
      <c r="A4" s="20" t="s">
        <v>8</v>
      </c>
      <c r="B4" s="21" t="s">
        <v>8</v>
      </c>
      <c r="C4" s="21" t="s">
        <v>8</v>
      </c>
      <c r="D4" s="21" t="s">
        <v>8</v>
      </c>
      <c r="E4" s="21" t="s">
        <v>8</v>
      </c>
      <c r="F4" s="21" t="s">
        <v>8</v>
      </c>
      <c r="G4" s="21" t="s">
        <v>8</v>
      </c>
      <c r="H4" s="22" t="s">
        <v>8</v>
      </c>
    </row>
    <row r="5" spans="1:8" ht="16.5">
      <c r="A5" s="4" t="s">
        <v>9</v>
      </c>
      <c r="B5" s="13" t="s">
        <v>10</v>
      </c>
      <c r="C5" s="2" t="s">
        <v>513</v>
      </c>
      <c r="D5" s="2"/>
      <c r="E5" s="2"/>
      <c r="F5" s="2"/>
      <c r="G5" s="2"/>
      <c r="H5" s="2"/>
    </row>
    <row r="6" spans="1:8" ht="15">
      <c r="A6" s="4" t="s">
        <v>11</v>
      </c>
      <c r="B6" s="13" t="s">
        <v>12</v>
      </c>
      <c r="C6" s="2" t="s">
        <v>13</v>
      </c>
      <c r="D6" s="2"/>
      <c r="E6" s="2"/>
      <c r="F6" s="2"/>
      <c r="G6" s="2"/>
      <c r="H6" s="2"/>
    </row>
    <row r="7" spans="1:8" ht="16.5">
      <c r="A7" s="4" t="s">
        <v>14</v>
      </c>
      <c r="B7" s="14" t="s">
        <v>512</v>
      </c>
      <c r="C7" s="2" t="s">
        <v>15</v>
      </c>
      <c r="D7" s="2"/>
      <c r="E7" s="2"/>
      <c r="F7" s="2"/>
      <c r="G7" s="2"/>
      <c r="H7" s="2"/>
    </row>
    <row r="8" spans="1:8" ht="15">
      <c r="A8" s="4" t="s">
        <v>16</v>
      </c>
      <c r="B8" s="13" t="s">
        <v>17</v>
      </c>
      <c r="C8" s="2" t="s">
        <v>18</v>
      </c>
      <c r="D8" s="2"/>
      <c r="E8" s="2"/>
      <c r="F8" s="2"/>
      <c r="G8" s="2"/>
      <c r="H8" s="2"/>
    </row>
    <row r="10" spans="1:8" ht="28.15" customHeight="1">
      <c r="A10" s="20" t="s">
        <v>19</v>
      </c>
      <c r="B10" s="21" t="s">
        <v>19</v>
      </c>
      <c r="C10" s="21" t="s">
        <v>19</v>
      </c>
      <c r="D10" s="21" t="s">
        <v>19</v>
      </c>
      <c r="E10" s="21" t="s">
        <v>19</v>
      </c>
      <c r="F10" s="21" t="s">
        <v>19</v>
      </c>
      <c r="G10" s="21" t="s">
        <v>19</v>
      </c>
      <c r="H10" s="22" t="s">
        <v>19</v>
      </c>
    </row>
    <row r="11" spans="1:8" ht="15">
      <c r="A11" s="5" t="s">
        <v>20</v>
      </c>
      <c r="B11" s="5" t="s">
        <v>21</v>
      </c>
      <c r="C11" s="5" t="s">
        <v>22</v>
      </c>
    </row>
    <row r="12" spans="1:8" ht="16.5">
      <c r="A12" s="12" t="s">
        <v>514</v>
      </c>
      <c r="B12" s="2" t="s">
        <v>23</v>
      </c>
      <c r="C12" s="2" t="s">
        <v>24</v>
      </c>
    </row>
    <row r="13" spans="1:8" ht="28.5">
      <c r="A13" s="4" t="s">
        <v>25</v>
      </c>
      <c r="B13" s="2" t="s">
        <v>26</v>
      </c>
      <c r="C13" s="2" t="s">
        <v>27</v>
      </c>
    </row>
    <row r="14" spans="1:8" ht="16.5">
      <c r="A14" s="4" t="s">
        <v>28</v>
      </c>
      <c r="B14" s="2" t="s">
        <v>515</v>
      </c>
      <c r="C14" s="2" t="s">
        <v>29</v>
      </c>
    </row>
    <row r="15" spans="1:8" ht="42.75">
      <c r="A15" s="12" t="s">
        <v>518</v>
      </c>
      <c r="B15" s="2" t="s">
        <v>30</v>
      </c>
      <c r="C15" s="15" t="s">
        <v>516</v>
      </c>
    </row>
    <row r="16" spans="1:8" ht="28.5">
      <c r="A16" s="4" t="s">
        <v>31</v>
      </c>
      <c r="B16" s="2" t="s">
        <v>32</v>
      </c>
      <c r="C16" s="15" t="s">
        <v>517</v>
      </c>
    </row>
    <row r="18" spans="1:8" ht="28.15" customHeight="1">
      <c r="A18" s="20" t="s">
        <v>33</v>
      </c>
      <c r="B18" s="21" t="s">
        <v>33</v>
      </c>
      <c r="C18" s="21" t="s">
        <v>33</v>
      </c>
      <c r="D18" s="21" t="s">
        <v>33</v>
      </c>
      <c r="E18" s="21" t="s">
        <v>33</v>
      </c>
      <c r="F18" s="21" t="s">
        <v>33</v>
      </c>
      <c r="G18" s="21" t="s">
        <v>33</v>
      </c>
      <c r="H18" s="22" t="s">
        <v>33</v>
      </c>
    </row>
    <row r="19" spans="1:8" ht="28.5">
      <c r="A19" s="4" t="s">
        <v>9</v>
      </c>
      <c r="B19" s="2" t="s">
        <v>34</v>
      </c>
      <c r="C19" s="2"/>
      <c r="D19" s="2"/>
      <c r="E19" s="2"/>
      <c r="F19" s="2"/>
      <c r="G19" s="2"/>
      <c r="H19" s="2"/>
    </row>
    <row r="20" spans="1:8" ht="42.75">
      <c r="A20" s="4" t="s">
        <v>11</v>
      </c>
      <c r="B20" s="2" t="s">
        <v>35</v>
      </c>
      <c r="C20" s="2"/>
      <c r="D20" s="2"/>
      <c r="E20" s="2"/>
      <c r="F20" s="2"/>
      <c r="G20" s="2"/>
      <c r="H20" s="2"/>
    </row>
    <row r="21" spans="1:8" ht="28.5">
      <c r="A21" s="4" t="s">
        <v>14</v>
      </c>
      <c r="B21" s="2" t="s">
        <v>36</v>
      </c>
      <c r="C21" s="2"/>
      <c r="D21" s="2"/>
      <c r="E21" s="2"/>
      <c r="F21" s="2"/>
      <c r="G21" s="2"/>
      <c r="H21" s="2"/>
    </row>
    <row r="22" spans="1:8" ht="42.75">
      <c r="A22" s="4" t="s">
        <v>16</v>
      </c>
      <c r="B22" s="2" t="s">
        <v>37</v>
      </c>
      <c r="C22" s="2"/>
      <c r="D22" s="2"/>
      <c r="E22" s="2"/>
      <c r="F22" s="2"/>
      <c r="G22" s="2"/>
      <c r="H22" s="2"/>
    </row>
    <row r="23" spans="1:8" ht="42.75">
      <c r="A23" s="4" t="s">
        <v>38</v>
      </c>
      <c r="B23" s="2" t="s">
        <v>39</v>
      </c>
      <c r="C23" s="2"/>
      <c r="D23" s="2"/>
      <c r="E23" s="2"/>
      <c r="F23" s="2"/>
      <c r="G23" s="2"/>
      <c r="H23" s="2"/>
    </row>
    <row r="24" spans="1:8" ht="42.75">
      <c r="A24" s="4" t="s">
        <v>40</v>
      </c>
      <c r="B24" s="2" t="s">
        <v>41</v>
      </c>
      <c r="C24" s="2"/>
      <c r="D24" s="2"/>
      <c r="E24" s="2"/>
      <c r="F24" s="2"/>
      <c r="G24" s="2"/>
      <c r="H24" s="2"/>
    </row>
  </sheetData>
  <mergeCells count="4">
    <mergeCell ref="A1:H1"/>
    <mergeCell ref="A4:H4"/>
    <mergeCell ref="A10:H10"/>
    <mergeCell ref="A18:H18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activeCell="H28" sqref="H28"/>
    </sheetView>
  </sheetViews>
  <sheetFormatPr defaultRowHeight="14.25"/>
  <cols>
    <col min="1" max="1" width="18" customWidth="1"/>
    <col min="2" max="2" width="28" customWidth="1"/>
    <col min="3" max="3" width="44" customWidth="1"/>
    <col min="4" max="4" width="34" customWidth="1"/>
    <col min="5" max="5" width="20" customWidth="1"/>
    <col min="6" max="6" width="18" customWidth="1"/>
  </cols>
  <sheetData>
    <row r="1" spans="1:6">
      <c r="A1" s="1" t="s">
        <v>42</v>
      </c>
      <c r="B1" s="1" t="s">
        <v>42</v>
      </c>
      <c r="C1" s="1" t="s">
        <v>42</v>
      </c>
      <c r="D1" s="1" t="s">
        <v>42</v>
      </c>
      <c r="E1" s="1" t="s">
        <v>42</v>
      </c>
      <c r="F1" s="1" t="s">
        <v>42</v>
      </c>
    </row>
    <row r="3" spans="1:6" ht="15">
      <c r="A3" s="5" t="s">
        <v>20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</row>
    <row r="4" spans="1:6" ht="28.5">
      <c r="A4" s="2" t="s">
        <v>48</v>
      </c>
      <c r="B4" s="2" t="s">
        <v>49</v>
      </c>
      <c r="C4" s="2" t="s">
        <v>50</v>
      </c>
      <c r="D4" s="2" t="s">
        <v>51</v>
      </c>
      <c r="E4" s="6" t="s">
        <v>52</v>
      </c>
      <c r="F4" s="2" t="s">
        <v>53</v>
      </c>
    </row>
    <row r="5" spans="1:6" ht="28.5">
      <c r="A5" s="2" t="s">
        <v>48</v>
      </c>
      <c r="B5" s="2" t="s">
        <v>54</v>
      </c>
      <c r="C5" s="2" t="s">
        <v>55</v>
      </c>
      <c r="D5" s="2" t="s">
        <v>56</v>
      </c>
      <c r="E5" s="6" t="s">
        <v>52</v>
      </c>
      <c r="F5" s="2" t="s">
        <v>57</v>
      </c>
    </row>
    <row r="6" spans="1:6" ht="28.5">
      <c r="A6" s="2" t="s">
        <v>58</v>
      </c>
      <c r="B6" s="2" t="s">
        <v>59</v>
      </c>
      <c r="C6" s="2" t="s">
        <v>60</v>
      </c>
      <c r="D6" s="2" t="s">
        <v>61</v>
      </c>
      <c r="E6" s="6" t="s">
        <v>52</v>
      </c>
      <c r="F6" s="2" t="s">
        <v>62</v>
      </c>
    </row>
    <row r="7" spans="1:6" ht="28.5">
      <c r="A7" s="2" t="s">
        <v>63</v>
      </c>
      <c r="B7" s="2" t="s">
        <v>64</v>
      </c>
      <c r="C7" s="2" t="s">
        <v>65</v>
      </c>
      <c r="D7" s="2" t="s">
        <v>66</v>
      </c>
      <c r="E7" s="6" t="s">
        <v>52</v>
      </c>
      <c r="F7" s="2" t="s">
        <v>67</v>
      </c>
    </row>
    <row r="8" spans="1:6">
      <c r="A8" s="2" t="s">
        <v>68</v>
      </c>
      <c r="B8" s="2" t="s">
        <v>69</v>
      </c>
      <c r="C8" s="2" t="s">
        <v>70</v>
      </c>
      <c r="D8" s="2" t="s">
        <v>71</v>
      </c>
      <c r="E8" s="6" t="s">
        <v>52</v>
      </c>
      <c r="F8" s="2" t="s">
        <v>72</v>
      </c>
    </row>
    <row r="9" spans="1:6">
      <c r="A9" s="2" t="s">
        <v>73</v>
      </c>
      <c r="B9" s="2" t="s">
        <v>74</v>
      </c>
      <c r="C9" s="2" t="s">
        <v>75</v>
      </c>
      <c r="D9" s="2" t="s">
        <v>76</v>
      </c>
      <c r="E9" s="6" t="s">
        <v>52</v>
      </c>
      <c r="F9" s="2" t="s">
        <v>77</v>
      </c>
    </row>
    <row r="10" spans="1:6" ht="28.5">
      <c r="A10" s="2" t="s">
        <v>78</v>
      </c>
      <c r="B10" s="2" t="s">
        <v>79</v>
      </c>
      <c r="C10" s="2" t="s">
        <v>80</v>
      </c>
      <c r="D10" s="2" t="s">
        <v>81</v>
      </c>
      <c r="E10" s="6" t="s">
        <v>82</v>
      </c>
      <c r="F10" s="2" t="s">
        <v>83</v>
      </c>
    </row>
    <row r="11" spans="1:6">
      <c r="A11" s="2" t="s">
        <v>84</v>
      </c>
      <c r="B11" s="2" t="s">
        <v>85</v>
      </c>
      <c r="C11" s="2" t="s">
        <v>86</v>
      </c>
      <c r="D11" s="2" t="s">
        <v>87</v>
      </c>
      <c r="E11" s="6" t="s">
        <v>82</v>
      </c>
      <c r="F11" s="2" t="s">
        <v>88</v>
      </c>
    </row>
    <row r="12" spans="1:6" ht="28.5">
      <c r="A12" s="2" t="s">
        <v>89</v>
      </c>
      <c r="B12" s="2" t="s">
        <v>90</v>
      </c>
      <c r="C12" s="2" t="s">
        <v>91</v>
      </c>
      <c r="D12" s="2" t="s">
        <v>92</v>
      </c>
      <c r="E12" s="6" t="s">
        <v>93</v>
      </c>
      <c r="F12" s="2" t="s">
        <v>94</v>
      </c>
    </row>
    <row r="15" spans="1:6">
      <c r="A15" s="20" t="s">
        <v>95</v>
      </c>
      <c r="B15" s="21" t="s">
        <v>95</v>
      </c>
      <c r="C15" s="21" t="s">
        <v>95</v>
      </c>
      <c r="D15" s="21" t="s">
        <v>95</v>
      </c>
      <c r="E15" s="21" t="s">
        <v>95</v>
      </c>
      <c r="F15" s="22" t="s">
        <v>95</v>
      </c>
    </row>
    <row r="16" spans="1:6" ht="15">
      <c r="A16" s="5" t="s">
        <v>96</v>
      </c>
      <c r="B16" s="5" t="s">
        <v>82</v>
      </c>
      <c r="C16" s="5" t="s">
        <v>97</v>
      </c>
      <c r="D16" s="5"/>
      <c r="E16" s="5"/>
      <c r="F16" s="5"/>
    </row>
    <row r="17" spans="1:6" ht="28.5">
      <c r="A17" s="2" t="s">
        <v>98</v>
      </c>
      <c r="B17" s="2" t="s">
        <v>99</v>
      </c>
      <c r="C17" s="2" t="s">
        <v>100</v>
      </c>
      <c r="D17" s="2"/>
      <c r="E17" s="2"/>
      <c r="F17" s="2"/>
    </row>
    <row r="18" spans="1:6" ht="28.5">
      <c r="A18" s="2" t="s">
        <v>101</v>
      </c>
      <c r="B18" s="2" t="s">
        <v>102</v>
      </c>
      <c r="C18" s="2" t="s">
        <v>103</v>
      </c>
      <c r="D18" s="2"/>
      <c r="E18" s="2"/>
      <c r="F18" s="2"/>
    </row>
    <row r="19" spans="1:6" ht="28.5">
      <c r="A19" s="2" t="s">
        <v>68</v>
      </c>
      <c r="B19" s="2" t="s">
        <v>104</v>
      </c>
      <c r="C19" s="2" t="s">
        <v>105</v>
      </c>
      <c r="D19" s="2"/>
      <c r="E19" s="2"/>
      <c r="F19" s="2"/>
    </row>
    <row r="20" spans="1:6" ht="28.5">
      <c r="A20" s="2" t="s">
        <v>78</v>
      </c>
      <c r="B20" s="2" t="s">
        <v>106</v>
      </c>
      <c r="C20" s="2" t="s">
        <v>107</v>
      </c>
      <c r="D20" s="2"/>
      <c r="E20" s="2"/>
      <c r="F20" s="2"/>
    </row>
  </sheetData>
  <mergeCells count="2">
    <mergeCell ref="A1:F1"/>
    <mergeCell ref="A15:F15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>
      <selection activeCell="D16" sqref="D16"/>
    </sheetView>
  </sheetViews>
  <sheetFormatPr defaultRowHeight="14.25"/>
  <cols>
    <col min="1" max="1" width="10" customWidth="1"/>
    <col min="2" max="2" width="22" customWidth="1"/>
    <col min="3" max="3" width="28" customWidth="1"/>
    <col min="4" max="4" width="42" customWidth="1"/>
    <col min="5" max="5" width="38" customWidth="1"/>
    <col min="6" max="6" width="28" customWidth="1"/>
    <col min="7" max="7" width="22" customWidth="1"/>
  </cols>
  <sheetData>
    <row r="1" spans="1:7">
      <c r="A1" s="1" t="s">
        <v>108</v>
      </c>
      <c r="B1" s="1" t="s">
        <v>108</v>
      </c>
      <c r="C1" s="1" t="s">
        <v>108</v>
      </c>
      <c r="D1" s="1" t="s">
        <v>108</v>
      </c>
      <c r="E1" s="1" t="s">
        <v>108</v>
      </c>
      <c r="F1" s="1" t="s">
        <v>108</v>
      </c>
      <c r="G1" s="1" t="s">
        <v>108</v>
      </c>
    </row>
    <row r="3" spans="1:7" ht="15">
      <c r="A3" s="5" t="s">
        <v>109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  <c r="G3" s="5" t="s">
        <v>115</v>
      </c>
    </row>
    <row r="4" spans="1:7">
      <c r="A4" s="2" t="s">
        <v>9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121</v>
      </c>
    </row>
    <row r="5" spans="1:7">
      <c r="A5" s="2" t="s">
        <v>11</v>
      </c>
      <c r="B5" s="2" t="s">
        <v>122</v>
      </c>
      <c r="C5" s="2" t="s">
        <v>117</v>
      </c>
      <c r="D5" s="2" t="s">
        <v>123</v>
      </c>
      <c r="E5" s="2" t="s">
        <v>124</v>
      </c>
      <c r="F5" s="2" t="s">
        <v>125</v>
      </c>
      <c r="G5" s="2" t="s">
        <v>126</v>
      </c>
    </row>
    <row r="6" spans="1:7">
      <c r="A6" s="2" t="s">
        <v>14</v>
      </c>
      <c r="B6" s="2" t="s">
        <v>127</v>
      </c>
      <c r="C6" s="2" t="s">
        <v>117</v>
      </c>
      <c r="D6" s="2" t="s">
        <v>128</v>
      </c>
      <c r="E6" s="2" t="s">
        <v>129</v>
      </c>
      <c r="F6" s="2" t="s">
        <v>49</v>
      </c>
      <c r="G6" s="2" t="s">
        <v>130</v>
      </c>
    </row>
    <row r="7" spans="1:7">
      <c r="A7" s="2" t="s">
        <v>16</v>
      </c>
      <c r="B7" s="2" t="s">
        <v>58</v>
      </c>
      <c r="C7" s="2" t="s">
        <v>117</v>
      </c>
      <c r="D7" s="2" t="s">
        <v>131</v>
      </c>
      <c r="E7" s="2" t="s">
        <v>132</v>
      </c>
      <c r="F7" s="2" t="s">
        <v>133</v>
      </c>
      <c r="G7" s="2" t="s">
        <v>134</v>
      </c>
    </row>
    <row r="8" spans="1:7">
      <c r="A8" s="2" t="s">
        <v>38</v>
      </c>
      <c r="B8" s="2" t="s">
        <v>135</v>
      </c>
      <c r="C8" s="2" t="s">
        <v>117</v>
      </c>
      <c r="D8" s="2" t="s">
        <v>136</v>
      </c>
      <c r="E8" s="2" t="s">
        <v>137</v>
      </c>
      <c r="F8" s="2" t="s">
        <v>138</v>
      </c>
      <c r="G8" s="2" t="s">
        <v>139</v>
      </c>
    </row>
    <row r="9" spans="1:7">
      <c r="A9" s="2" t="s">
        <v>40</v>
      </c>
      <c r="B9" s="2" t="s">
        <v>140</v>
      </c>
      <c r="C9" s="2" t="s">
        <v>141</v>
      </c>
      <c r="D9" s="2" t="s">
        <v>142</v>
      </c>
      <c r="E9" s="2" t="s">
        <v>143</v>
      </c>
      <c r="F9" s="2" t="s">
        <v>144</v>
      </c>
      <c r="G9" s="2" t="s">
        <v>145</v>
      </c>
    </row>
    <row r="10" spans="1:7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150</v>
      </c>
      <c r="F10" s="2" t="s">
        <v>151</v>
      </c>
      <c r="G10" s="2" t="s">
        <v>152</v>
      </c>
    </row>
    <row r="11" spans="1:7">
      <c r="A11" s="2" t="s">
        <v>153</v>
      </c>
      <c r="B11" s="2" t="s">
        <v>154</v>
      </c>
      <c r="C11" s="2" t="s">
        <v>155</v>
      </c>
      <c r="D11" s="2" t="s">
        <v>156</v>
      </c>
      <c r="E11" s="2" t="s">
        <v>157</v>
      </c>
      <c r="F11" s="2" t="s">
        <v>158</v>
      </c>
      <c r="G11" s="2" t="s">
        <v>159</v>
      </c>
    </row>
  </sheetData>
  <mergeCells count="1">
    <mergeCell ref="A1:G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showGridLines="0" workbookViewId="0">
      <selection activeCell="H16" sqref="H16"/>
    </sheetView>
  </sheetViews>
  <sheetFormatPr defaultRowHeight="14.25"/>
  <cols>
    <col min="1" max="1" width="16" customWidth="1"/>
    <col min="2" max="2" width="24" customWidth="1"/>
    <col min="3" max="3" width="28" customWidth="1"/>
    <col min="4" max="4" width="42" customWidth="1"/>
    <col min="5" max="5" width="22" customWidth="1"/>
    <col min="6" max="6" width="20" customWidth="1"/>
    <col min="7" max="7" width="28" customWidth="1"/>
    <col min="9" max="9" width="34.75" style="18" customWidth="1"/>
    <col min="10" max="16" width="8.75" style="18"/>
  </cols>
  <sheetData>
    <row r="1" spans="1:9">
      <c r="A1" s="1" t="s">
        <v>160</v>
      </c>
      <c r="B1" s="1" t="s">
        <v>160</v>
      </c>
      <c r="C1" s="1" t="s">
        <v>160</v>
      </c>
      <c r="D1" s="1" t="s">
        <v>160</v>
      </c>
      <c r="E1" s="1" t="s">
        <v>160</v>
      </c>
      <c r="F1" s="1" t="s">
        <v>160</v>
      </c>
      <c r="G1" s="1" t="s">
        <v>160</v>
      </c>
    </row>
    <row r="3" spans="1:9" ht="15">
      <c r="A3" s="5" t="s">
        <v>161</v>
      </c>
      <c r="B3" s="5" t="s">
        <v>162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47</v>
      </c>
    </row>
    <row r="4" spans="1:9" ht="28.5">
      <c r="A4" s="2" t="s">
        <v>167</v>
      </c>
      <c r="B4" s="2" t="s">
        <v>168</v>
      </c>
      <c r="C4" s="2" t="s">
        <v>169</v>
      </c>
      <c r="D4" s="2" t="s">
        <v>170</v>
      </c>
      <c r="E4" s="2" t="s">
        <v>171</v>
      </c>
      <c r="F4" s="2" t="s">
        <v>172</v>
      </c>
      <c r="G4" s="2" t="s">
        <v>173</v>
      </c>
      <c r="I4" s="19" t="s">
        <v>520</v>
      </c>
    </row>
    <row r="5" spans="1:9" ht="28.5">
      <c r="A5" s="2" t="s">
        <v>174</v>
      </c>
      <c r="B5" s="2" t="s">
        <v>175</v>
      </c>
      <c r="C5" s="2" t="s">
        <v>176</v>
      </c>
      <c r="D5" s="2" t="s">
        <v>177</v>
      </c>
      <c r="E5" s="2" t="s">
        <v>178</v>
      </c>
      <c r="F5" s="2" t="s">
        <v>179</v>
      </c>
      <c r="G5" s="2" t="s">
        <v>180</v>
      </c>
    </row>
    <row r="6" spans="1:9">
      <c r="A6" s="2" t="s">
        <v>181</v>
      </c>
      <c r="B6" s="2" t="s">
        <v>182</v>
      </c>
      <c r="C6" s="2" t="s">
        <v>183</v>
      </c>
      <c r="D6" s="2" t="s">
        <v>184</v>
      </c>
      <c r="E6" s="2" t="s">
        <v>185</v>
      </c>
      <c r="F6" s="2" t="s">
        <v>179</v>
      </c>
      <c r="G6" s="2" t="s">
        <v>186</v>
      </c>
      <c r="I6" s="18" t="s">
        <v>521</v>
      </c>
    </row>
    <row r="7" spans="1:9" ht="28.5">
      <c r="A7" s="2" t="s">
        <v>187</v>
      </c>
      <c r="B7" s="17" t="s">
        <v>69</v>
      </c>
      <c r="C7" s="17" t="s">
        <v>188</v>
      </c>
      <c r="D7" s="2" t="s">
        <v>189</v>
      </c>
      <c r="E7" s="2" t="s">
        <v>190</v>
      </c>
      <c r="F7" s="2" t="s">
        <v>179</v>
      </c>
      <c r="G7" s="2" t="s">
        <v>191</v>
      </c>
    </row>
    <row r="8" spans="1:9" ht="28.5">
      <c r="A8" s="2" t="s">
        <v>192</v>
      </c>
      <c r="B8" s="2" t="s">
        <v>193</v>
      </c>
      <c r="C8" s="2" t="s">
        <v>194</v>
      </c>
      <c r="D8" s="2" t="s">
        <v>195</v>
      </c>
      <c r="E8" s="2" t="s">
        <v>196</v>
      </c>
      <c r="F8" s="2" t="s">
        <v>155</v>
      </c>
      <c r="G8" s="2" t="s">
        <v>197</v>
      </c>
      <c r="I8" s="18" t="s">
        <v>522</v>
      </c>
    </row>
    <row r="9" spans="1:9" ht="28.5">
      <c r="A9" s="2" t="s">
        <v>198</v>
      </c>
      <c r="B9" s="2" t="s">
        <v>199</v>
      </c>
      <c r="C9" s="2" t="s">
        <v>200</v>
      </c>
      <c r="D9" s="2" t="s">
        <v>201</v>
      </c>
      <c r="E9" s="2" t="s">
        <v>202</v>
      </c>
      <c r="F9" s="2" t="s">
        <v>155</v>
      </c>
      <c r="G9" s="2" t="s">
        <v>203</v>
      </c>
    </row>
    <row r="10" spans="1:9">
      <c r="I10" s="18" t="s">
        <v>523</v>
      </c>
    </row>
    <row r="12" spans="1:9">
      <c r="A12" s="20" t="s">
        <v>204</v>
      </c>
      <c r="B12" s="21" t="s">
        <v>204</v>
      </c>
      <c r="C12" s="21" t="s">
        <v>204</v>
      </c>
      <c r="D12" s="21" t="s">
        <v>204</v>
      </c>
      <c r="E12" s="21" t="s">
        <v>204</v>
      </c>
      <c r="F12" s="21" t="s">
        <v>204</v>
      </c>
      <c r="G12" s="22" t="s">
        <v>204</v>
      </c>
    </row>
    <row r="14" spans="1:9" ht="15">
      <c r="A14" s="7" t="s">
        <v>205</v>
      </c>
      <c r="B14" s="7" t="s">
        <v>206</v>
      </c>
      <c r="C14" s="7" t="s">
        <v>207</v>
      </c>
      <c r="D14" s="7" t="s">
        <v>52</v>
      </c>
      <c r="E14" s="7" t="s">
        <v>208</v>
      </c>
      <c r="F14" s="7" t="s">
        <v>209</v>
      </c>
      <c r="G14" s="7" t="s">
        <v>210</v>
      </c>
    </row>
    <row r="15" spans="1:9">
      <c r="A15" s="2" t="s">
        <v>211</v>
      </c>
      <c r="B15" s="2" t="s">
        <v>212</v>
      </c>
      <c r="C15" s="2" t="s">
        <v>213</v>
      </c>
      <c r="D15" s="2" t="s">
        <v>214</v>
      </c>
      <c r="E15" s="2" t="s">
        <v>215</v>
      </c>
      <c r="F15" s="2" t="s">
        <v>216</v>
      </c>
      <c r="G15" s="2" t="s">
        <v>217</v>
      </c>
    </row>
    <row r="16" spans="1:9">
      <c r="A16" s="2" t="s">
        <v>211</v>
      </c>
      <c r="B16" s="2" t="s">
        <v>218</v>
      </c>
      <c r="C16" s="2" t="s">
        <v>219</v>
      </c>
      <c r="D16" s="2" t="s">
        <v>214</v>
      </c>
      <c r="E16" s="2" t="s">
        <v>220</v>
      </c>
      <c r="F16" s="2" t="s">
        <v>221</v>
      </c>
      <c r="G16" s="2" t="s">
        <v>222</v>
      </c>
    </row>
    <row r="17" spans="1:7">
      <c r="A17" s="2" t="s">
        <v>211</v>
      </c>
      <c r="B17" s="2" t="s">
        <v>223</v>
      </c>
      <c r="C17" s="2" t="s">
        <v>224</v>
      </c>
      <c r="D17" s="2" t="s">
        <v>214</v>
      </c>
      <c r="E17" s="2" t="s">
        <v>225</v>
      </c>
      <c r="F17" s="2" t="s">
        <v>226</v>
      </c>
      <c r="G17" s="2" t="s">
        <v>227</v>
      </c>
    </row>
    <row r="18" spans="1:7">
      <c r="A18" s="2" t="s">
        <v>211</v>
      </c>
      <c r="B18" s="2" t="s">
        <v>228</v>
      </c>
      <c r="C18" s="2" t="s">
        <v>229</v>
      </c>
      <c r="D18" s="2" t="s">
        <v>214</v>
      </c>
      <c r="E18" s="2" t="s">
        <v>230</v>
      </c>
      <c r="F18" s="2" t="s">
        <v>231</v>
      </c>
      <c r="G18" s="2" t="s">
        <v>232</v>
      </c>
    </row>
    <row r="19" spans="1:7">
      <c r="A19" s="2" t="s">
        <v>211</v>
      </c>
      <c r="B19" s="2" t="s">
        <v>233</v>
      </c>
      <c r="C19" s="2" t="s">
        <v>234</v>
      </c>
      <c r="D19" s="2" t="s">
        <v>214</v>
      </c>
      <c r="E19" s="2" t="s">
        <v>235</v>
      </c>
      <c r="F19" s="2" t="s">
        <v>236</v>
      </c>
      <c r="G19" s="2" t="s">
        <v>237</v>
      </c>
    </row>
    <row r="20" spans="1:7">
      <c r="A20" s="2" t="s">
        <v>238</v>
      </c>
      <c r="B20" s="2" t="s">
        <v>239</v>
      </c>
      <c r="C20" s="2" t="s">
        <v>219</v>
      </c>
      <c r="D20" s="2" t="s">
        <v>240</v>
      </c>
      <c r="E20" s="2" t="s">
        <v>241</v>
      </c>
      <c r="F20" s="2" t="s">
        <v>242</v>
      </c>
      <c r="G20" s="2" t="s">
        <v>243</v>
      </c>
    </row>
    <row r="21" spans="1:7">
      <c r="A21" s="2" t="s">
        <v>238</v>
      </c>
      <c r="B21" s="2" t="s">
        <v>244</v>
      </c>
      <c r="C21" s="2" t="s">
        <v>245</v>
      </c>
      <c r="D21" s="2" t="s">
        <v>240</v>
      </c>
      <c r="E21" s="2" t="s">
        <v>246</v>
      </c>
      <c r="F21" s="2" t="s">
        <v>247</v>
      </c>
      <c r="G21" s="2" t="s">
        <v>248</v>
      </c>
    </row>
    <row r="22" spans="1:7">
      <c r="A22" s="2" t="s">
        <v>249</v>
      </c>
      <c r="B22" s="2" t="s">
        <v>250</v>
      </c>
      <c r="C22" s="2" t="s">
        <v>229</v>
      </c>
      <c r="D22" s="2" t="s">
        <v>214</v>
      </c>
      <c r="E22" s="2" t="s">
        <v>230</v>
      </c>
      <c r="F22" s="2" t="s">
        <v>251</v>
      </c>
      <c r="G22" s="2" t="s">
        <v>252</v>
      </c>
    </row>
    <row r="23" spans="1:7">
      <c r="A23" s="2" t="s">
        <v>249</v>
      </c>
      <c r="B23" s="2" t="s">
        <v>253</v>
      </c>
      <c r="C23" s="2" t="s">
        <v>234</v>
      </c>
      <c r="D23" s="2" t="s">
        <v>214</v>
      </c>
      <c r="E23" s="2" t="s">
        <v>234</v>
      </c>
      <c r="F23" s="2" t="s">
        <v>254</v>
      </c>
      <c r="G23" s="2" t="s">
        <v>255</v>
      </c>
    </row>
    <row r="24" spans="1:7">
      <c r="A24" s="2" t="s">
        <v>256</v>
      </c>
      <c r="B24" s="2" t="s">
        <v>257</v>
      </c>
      <c r="C24" s="2" t="s">
        <v>229</v>
      </c>
      <c r="D24" s="2" t="s">
        <v>214</v>
      </c>
      <c r="E24" s="2" t="s">
        <v>258</v>
      </c>
      <c r="F24" s="2" t="s">
        <v>259</v>
      </c>
      <c r="G24" s="2" t="s">
        <v>260</v>
      </c>
    </row>
    <row r="25" spans="1:7">
      <c r="A25" s="2" t="s">
        <v>261</v>
      </c>
      <c r="B25" s="2" t="s">
        <v>262</v>
      </c>
      <c r="C25" s="2" t="s">
        <v>263</v>
      </c>
      <c r="D25" s="2" t="s">
        <v>214</v>
      </c>
      <c r="E25" s="2" t="s">
        <v>264</v>
      </c>
      <c r="F25" s="2" t="s">
        <v>265</v>
      </c>
      <c r="G25" s="2" t="s">
        <v>266</v>
      </c>
    </row>
    <row r="26" spans="1:7" ht="28.5">
      <c r="A26" s="2" t="s">
        <v>267</v>
      </c>
      <c r="B26" s="2" t="s">
        <v>268</v>
      </c>
      <c r="C26" s="2" t="s">
        <v>224</v>
      </c>
      <c r="D26" s="2" t="s">
        <v>269</v>
      </c>
      <c r="E26" s="2" t="s">
        <v>270</v>
      </c>
      <c r="F26" s="2" t="s">
        <v>271</v>
      </c>
      <c r="G26" s="2" t="s">
        <v>271</v>
      </c>
    </row>
  </sheetData>
  <mergeCells count="2">
    <mergeCell ref="A1:G1"/>
    <mergeCell ref="A12:G12"/>
  </mergeCells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showGridLines="0" workbookViewId="0">
      <selection sqref="A1:F1"/>
    </sheetView>
  </sheetViews>
  <sheetFormatPr defaultRowHeight="14.25"/>
  <cols>
    <col min="1" max="6" width="16" customWidth="1"/>
    <col min="7" max="10" width="18" customWidth="1"/>
  </cols>
  <sheetData>
    <row r="1" spans="1:10" ht="43.9" customHeight="1">
      <c r="A1" s="27" t="s">
        <v>272</v>
      </c>
      <c r="B1" s="28" t="s">
        <v>272</v>
      </c>
      <c r="C1" s="28" t="s">
        <v>272</v>
      </c>
      <c r="D1" s="28" t="s">
        <v>272</v>
      </c>
      <c r="E1" s="28" t="s">
        <v>272</v>
      </c>
      <c r="F1" s="29" t="s">
        <v>272</v>
      </c>
      <c r="G1" s="8" t="s">
        <v>273</v>
      </c>
      <c r="H1" s="23" t="s">
        <v>274</v>
      </c>
      <c r="I1" s="23" t="s">
        <v>274</v>
      </c>
      <c r="J1" s="23" t="s">
        <v>274</v>
      </c>
    </row>
    <row r="2" spans="1:10" ht="31.9" customHeight="1">
      <c r="A2" s="8" t="s">
        <v>275</v>
      </c>
      <c r="B2" s="9" t="s">
        <v>276</v>
      </c>
      <c r="C2" s="8" t="s">
        <v>228</v>
      </c>
      <c r="D2" s="23" t="s">
        <v>277</v>
      </c>
      <c r="E2" s="23" t="s">
        <v>277</v>
      </c>
      <c r="F2" s="8" t="s">
        <v>233</v>
      </c>
      <c r="G2" s="23" t="s">
        <v>278</v>
      </c>
      <c r="H2" s="23" t="s">
        <v>278</v>
      </c>
      <c r="I2" s="23" t="s">
        <v>278</v>
      </c>
      <c r="J2" s="23" t="s">
        <v>278</v>
      </c>
    </row>
    <row r="3" spans="1:10" ht="31.9" customHeight="1">
      <c r="A3" s="24" t="s">
        <v>239</v>
      </c>
      <c r="B3" s="24" t="s">
        <v>239</v>
      </c>
      <c r="C3" s="9" t="s">
        <v>279</v>
      </c>
      <c r="D3" s="24" t="s">
        <v>280</v>
      </c>
      <c r="E3" s="24" t="s">
        <v>280</v>
      </c>
      <c r="F3" s="23" t="s">
        <v>281</v>
      </c>
      <c r="G3" s="23" t="s">
        <v>281</v>
      </c>
      <c r="H3" s="23" t="s">
        <v>281</v>
      </c>
      <c r="I3" s="23" t="s">
        <v>281</v>
      </c>
      <c r="J3" s="23" t="s">
        <v>281</v>
      </c>
    </row>
    <row r="4" spans="1:10" ht="18" customHeight="1"/>
    <row r="5" spans="1:10" ht="34.15" customHeight="1">
      <c r="A5" s="26" t="s">
        <v>282</v>
      </c>
      <c r="B5" s="26" t="s">
        <v>282</v>
      </c>
      <c r="C5" s="26" t="s">
        <v>282</v>
      </c>
      <c r="D5" s="26" t="s">
        <v>282</v>
      </c>
      <c r="E5" s="26" t="s">
        <v>282</v>
      </c>
      <c r="F5" s="26" t="s">
        <v>282</v>
      </c>
      <c r="G5" s="26" t="s">
        <v>282</v>
      </c>
      <c r="H5" s="26" t="s">
        <v>282</v>
      </c>
      <c r="I5" s="26" t="s">
        <v>282</v>
      </c>
      <c r="J5" s="26" t="s">
        <v>282</v>
      </c>
    </row>
    <row r="6" spans="1:10">
      <c r="A6" s="24" t="s">
        <v>250</v>
      </c>
      <c r="B6" s="24" t="s">
        <v>250</v>
      </c>
      <c r="C6" s="23" t="s">
        <v>283</v>
      </c>
      <c r="D6" s="23" t="s">
        <v>283</v>
      </c>
      <c r="E6" s="24" t="s">
        <v>253</v>
      </c>
      <c r="F6" s="24" t="s">
        <v>253</v>
      </c>
      <c r="G6" s="23" t="s">
        <v>284</v>
      </c>
      <c r="H6" s="23" t="s">
        <v>284</v>
      </c>
      <c r="I6" s="23" t="s">
        <v>284</v>
      </c>
      <c r="J6" s="23" t="s">
        <v>284</v>
      </c>
    </row>
    <row r="7" spans="1:10">
      <c r="A7" s="24" t="s">
        <v>256</v>
      </c>
      <c r="B7" s="24" t="s">
        <v>256</v>
      </c>
      <c r="C7" s="23" t="s">
        <v>285</v>
      </c>
      <c r="D7" s="23" t="s">
        <v>285</v>
      </c>
      <c r="E7" s="24" t="s">
        <v>286</v>
      </c>
      <c r="F7" s="24" t="s">
        <v>286</v>
      </c>
      <c r="G7" s="23" t="s">
        <v>287</v>
      </c>
      <c r="H7" s="23" t="s">
        <v>287</v>
      </c>
      <c r="I7" s="23" t="s">
        <v>287</v>
      </c>
      <c r="J7" s="23" t="s">
        <v>287</v>
      </c>
    </row>
    <row r="8" spans="1:10">
      <c r="A8" s="24" t="s">
        <v>288</v>
      </c>
      <c r="B8" s="24" t="s">
        <v>288</v>
      </c>
      <c r="C8" s="23" t="s">
        <v>289</v>
      </c>
      <c r="D8" s="23" t="s">
        <v>289</v>
      </c>
      <c r="E8" s="23" t="s">
        <v>289</v>
      </c>
      <c r="F8" s="23" t="s">
        <v>289</v>
      </c>
      <c r="G8" s="23" t="s">
        <v>289</v>
      </c>
      <c r="H8" s="23" t="s">
        <v>289</v>
      </c>
      <c r="I8" s="23" t="s">
        <v>289</v>
      </c>
      <c r="J8" s="23" t="s">
        <v>289</v>
      </c>
    </row>
    <row r="9" spans="1:10" ht="34.15" customHeight="1">
      <c r="A9" s="24" t="s">
        <v>290</v>
      </c>
      <c r="B9" s="24" t="s">
        <v>290</v>
      </c>
      <c r="C9" s="24" t="s">
        <v>291</v>
      </c>
      <c r="D9" s="24" t="s">
        <v>291</v>
      </c>
      <c r="E9" s="24" t="s">
        <v>292</v>
      </c>
      <c r="F9" s="24" t="s">
        <v>292</v>
      </c>
      <c r="G9" s="24" t="s">
        <v>292</v>
      </c>
      <c r="H9" s="24" t="s">
        <v>292</v>
      </c>
      <c r="I9" s="24" t="s">
        <v>292</v>
      </c>
      <c r="J9" s="24" t="s">
        <v>292</v>
      </c>
    </row>
    <row r="10" spans="1:10" ht="28.15" customHeight="1">
      <c r="A10" s="23" t="s">
        <v>293</v>
      </c>
      <c r="B10" s="23" t="s">
        <v>293</v>
      </c>
      <c r="C10" s="23" t="s">
        <v>294</v>
      </c>
      <c r="D10" s="23" t="s">
        <v>294</v>
      </c>
      <c r="E10" s="23" t="s">
        <v>295</v>
      </c>
      <c r="F10" s="23" t="s">
        <v>295</v>
      </c>
      <c r="G10" s="23" t="s">
        <v>295</v>
      </c>
      <c r="H10" s="23" t="s">
        <v>295</v>
      </c>
      <c r="I10" s="23" t="s">
        <v>295</v>
      </c>
      <c r="J10" s="23" t="s">
        <v>295</v>
      </c>
    </row>
    <row r="11" spans="1:10" ht="28.15" customHeight="1">
      <c r="A11" s="23" t="s">
        <v>296</v>
      </c>
      <c r="B11" s="23" t="s">
        <v>296</v>
      </c>
      <c r="C11" s="23" t="s">
        <v>297</v>
      </c>
      <c r="D11" s="23" t="s">
        <v>297</v>
      </c>
      <c r="E11" s="23" t="s">
        <v>298</v>
      </c>
      <c r="F11" s="23" t="s">
        <v>298</v>
      </c>
      <c r="G11" s="23" t="s">
        <v>298</v>
      </c>
      <c r="H11" s="23" t="s">
        <v>298</v>
      </c>
      <c r="I11" s="23" t="s">
        <v>298</v>
      </c>
      <c r="J11" s="23" t="s">
        <v>298</v>
      </c>
    </row>
    <row r="12" spans="1:10" ht="28.15" customHeight="1">
      <c r="A12" s="23" t="s">
        <v>299</v>
      </c>
      <c r="B12" s="23" t="s">
        <v>299</v>
      </c>
      <c r="C12" s="23" t="s">
        <v>300</v>
      </c>
      <c r="D12" s="23" t="s">
        <v>300</v>
      </c>
      <c r="E12" s="23" t="s">
        <v>301</v>
      </c>
      <c r="F12" s="23" t="s">
        <v>301</v>
      </c>
      <c r="G12" s="23" t="s">
        <v>301</v>
      </c>
      <c r="H12" s="23" t="s">
        <v>301</v>
      </c>
      <c r="I12" s="23" t="s">
        <v>301</v>
      </c>
      <c r="J12" s="23" t="s">
        <v>301</v>
      </c>
    </row>
    <row r="13" spans="1:10" ht="28.15" customHeight="1">
      <c r="A13" s="23" t="s">
        <v>302</v>
      </c>
      <c r="B13" s="23" t="s">
        <v>302</v>
      </c>
      <c r="C13" s="23" t="s">
        <v>303</v>
      </c>
      <c r="D13" s="23" t="s">
        <v>303</v>
      </c>
      <c r="E13" s="23" t="s">
        <v>304</v>
      </c>
      <c r="F13" s="23" t="s">
        <v>304</v>
      </c>
      <c r="G13" s="23" t="s">
        <v>304</v>
      </c>
      <c r="H13" s="23" t="s">
        <v>304</v>
      </c>
      <c r="I13" s="23" t="s">
        <v>304</v>
      </c>
      <c r="J13" s="23" t="s">
        <v>304</v>
      </c>
    </row>
    <row r="14" spans="1:10" ht="28.15" customHeight="1">
      <c r="A14" s="23" t="s">
        <v>305</v>
      </c>
      <c r="B14" s="23" t="s">
        <v>305</v>
      </c>
      <c r="C14" s="23" t="s">
        <v>306</v>
      </c>
      <c r="D14" s="23" t="s">
        <v>306</v>
      </c>
      <c r="E14" s="23" t="s">
        <v>307</v>
      </c>
      <c r="F14" s="23" t="s">
        <v>307</v>
      </c>
      <c r="G14" s="23" t="s">
        <v>307</v>
      </c>
      <c r="H14" s="23" t="s">
        <v>307</v>
      </c>
      <c r="I14" s="23" t="s">
        <v>307</v>
      </c>
      <c r="J14" s="23" t="s">
        <v>307</v>
      </c>
    </row>
    <row r="15" spans="1:10" ht="34.15" customHeight="1">
      <c r="A15" s="26" t="s">
        <v>308</v>
      </c>
      <c r="B15" s="26" t="s">
        <v>308</v>
      </c>
      <c r="C15" s="26" t="s">
        <v>308</v>
      </c>
      <c r="D15" s="26" t="s">
        <v>308</v>
      </c>
      <c r="E15" s="26" t="s">
        <v>308</v>
      </c>
      <c r="F15" s="26" t="s">
        <v>308</v>
      </c>
      <c r="G15" s="26" t="s">
        <v>308</v>
      </c>
      <c r="H15" s="26" t="s">
        <v>308</v>
      </c>
      <c r="I15" s="26" t="s">
        <v>308</v>
      </c>
      <c r="J15" s="26" t="s">
        <v>308</v>
      </c>
    </row>
    <row r="16" spans="1:10">
      <c r="A16" s="24" t="s">
        <v>309</v>
      </c>
      <c r="B16" s="24" t="s">
        <v>309</v>
      </c>
      <c r="C16" s="23" t="s">
        <v>310</v>
      </c>
      <c r="D16" s="23" t="s">
        <v>310</v>
      </c>
      <c r="E16" s="24" t="s">
        <v>311</v>
      </c>
      <c r="F16" s="24" t="s">
        <v>311</v>
      </c>
      <c r="G16" s="23" t="s">
        <v>312</v>
      </c>
      <c r="H16" s="23" t="s">
        <v>312</v>
      </c>
      <c r="I16" s="23" t="s">
        <v>312</v>
      </c>
      <c r="J16" s="23" t="s">
        <v>312</v>
      </c>
    </row>
    <row r="17" spans="1:10">
      <c r="A17" s="24" t="s">
        <v>313</v>
      </c>
      <c r="B17" s="24" t="s">
        <v>313</v>
      </c>
      <c r="C17" s="23" t="s">
        <v>314</v>
      </c>
      <c r="D17" s="23" t="s">
        <v>314</v>
      </c>
      <c r="E17" s="23" t="s">
        <v>314</v>
      </c>
      <c r="F17" s="23" t="s">
        <v>314</v>
      </c>
      <c r="G17" s="23" t="s">
        <v>314</v>
      </c>
      <c r="H17" s="23" t="s">
        <v>314</v>
      </c>
      <c r="I17" s="23" t="s">
        <v>314</v>
      </c>
      <c r="J17" s="23" t="s">
        <v>314</v>
      </c>
    </row>
    <row r="18" spans="1:10" ht="61.9" customHeight="1">
      <c r="A18" s="25" t="s">
        <v>315</v>
      </c>
      <c r="B18" s="25" t="s">
        <v>315</v>
      </c>
      <c r="C18" s="25" t="s">
        <v>315</v>
      </c>
      <c r="D18" s="25" t="s">
        <v>315</v>
      </c>
      <c r="E18" s="25" t="s">
        <v>315</v>
      </c>
      <c r="F18" s="25" t="s">
        <v>315</v>
      </c>
      <c r="G18" s="25" t="s">
        <v>315</v>
      </c>
      <c r="H18" s="25" t="s">
        <v>315</v>
      </c>
      <c r="I18" s="25" t="s">
        <v>315</v>
      </c>
      <c r="J18" s="25" t="s">
        <v>315</v>
      </c>
    </row>
    <row r="19" spans="1:10" ht="34.15" customHeight="1">
      <c r="A19" s="24" t="s">
        <v>316</v>
      </c>
      <c r="B19" s="24" t="s">
        <v>316</v>
      </c>
      <c r="C19" s="24" t="s">
        <v>234</v>
      </c>
      <c r="D19" s="24" t="s">
        <v>234</v>
      </c>
      <c r="E19" s="24" t="s">
        <v>317</v>
      </c>
      <c r="F19" s="24" t="s">
        <v>317</v>
      </c>
      <c r="G19" s="24" t="s">
        <v>318</v>
      </c>
      <c r="H19" s="24" t="s">
        <v>318</v>
      </c>
      <c r="I19" s="24" t="s">
        <v>318</v>
      </c>
      <c r="J19" s="24" t="s">
        <v>318</v>
      </c>
    </row>
    <row r="20" spans="1:10" ht="42" customHeight="1">
      <c r="A20" s="23" t="s">
        <v>319</v>
      </c>
      <c r="B20" s="23" t="s">
        <v>319</v>
      </c>
      <c r="C20" s="23" t="s">
        <v>320</v>
      </c>
      <c r="D20" s="23" t="s">
        <v>320</v>
      </c>
      <c r="E20" s="23" t="s">
        <v>321</v>
      </c>
      <c r="F20" s="23" t="s">
        <v>321</v>
      </c>
      <c r="G20" s="23" t="s">
        <v>322</v>
      </c>
      <c r="H20" s="23" t="s">
        <v>322</v>
      </c>
      <c r="I20" s="23" t="s">
        <v>322</v>
      </c>
      <c r="J20" s="23" t="s">
        <v>322</v>
      </c>
    </row>
    <row r="21" spans="1:10" ht="42" customHeight="1">
      <c r="A21" s="23" t="s">
        <v>323</v>
      </c>
      <c r="B21" s="23" t="s">
        <v>323</v>
      </c>
      <c r="C21" s="23" t="s">
        <v>324</v>
      </c>
      <c r="D21" s="23" t="s">
        <v>324</v>
      </c>
      <c r="E21" s="23" t="s">
        <v>321</v>
      </c>
      <c r="F21" s="23" t="s">
        <v>321</v>
      </c>
      <c r="G21" s="23" t="s">
        <v>325</v>
      </c>
      <c r="H21" s="23" t="s">
        <v>325</v>
      </c>
      <c r="I21" s="23" t="s">
        <v>325</v>
      </c>
      <c r="J21" s="23" t="s">
        <v>325</v>
      </c>
    </row>
    <row r="22" spans="1:10" ht="42" customHeight="1">
      <c r="A22" s="23" t="s">
        <v>326</v>
      </c>
      <c r="B22" s="23" t="s">
        <v>326</v>
      </c>
      <c r="C22" s="23" t="s">
        <v>327</v>
      </c>
      <c r="D22" s="23" t="s">
        <v>327</v>
      </c>
      <c r="E22" s="23" t="s">
        <v>328</v>
      </c>
      <c r="F22" s="23" t="s">
        <v>328</v>
      </c>
      <c r="G22" s="23" t="s">
        <v>329</v>
      </c>
      <c r="H22" s="23" t="s">
        <v>329</v>
      </c>
      <c r="I22" s="23" t="s">
        <v>329</v>
      </c>
      <c r="J22" s="23" t="s">
        <v>329</v>
      </c>
    </row>
  </sheetData>
  <mergeCells count="60">
    <mergeCell ref="A1:F1"/>
    <mergeCell ref="H1:J1"/>
    <mergeCell ref="D2:E2"/>
    <mergeCell ref="G2:J2"/>
    <mergeCell ref="A3:B3"/>
    <mergeCell ref="D3:E3"/>
    <mergeCell ref="F3:J3"/>
    <mergeCell ref="A5:J5"/>
    <mergeCell ref="A6:B6"/>
    <mergeCell ref="C6:D6"/>
    <mergeCell ref="E6:F6"/>
    <mergeCell ref="G6:J6"/>
    <mergeCell ref="A7:B7"/>
    <mergeCell ref="C7:D7"/>
    <mergeCell ref="E7:F7"/>
    <mergeCell ref="G7:J7"/>
    <mergeCell ref="A8:B8"/>
    <mergeCell ref="C8:J8"/>
    <mergeCell ref="A9:B9"/>
    <mergeCell ref="C9:D9"/>
    <mergeCell ref="E9:J9"/>
    <mergeCell ref="A10:B10"/>
    <mergeCell ref="C10:D10"/>
    <mergeCell ref="E10:J10"/>
    <mergeCell ref="A11:B11"/>
    <mergeCell ref="C11:D11"/>
    <mergeCell ref="E11:J11"/>
    <mergeCell ref="A12:B12"/>
    <mergeCell ref="C12:D12"/>
    <mergeCell ref="E12:J12"/>
    <mergeCell ref="A13:B13"/>
    <mergeCell ref="C13:D13"/>
    <mergeCell ref="E13:J13"/>
    <mergeCell ref="A14:B14"/>
    <mergeCell ref="C14:D14"/>
    <mergeCell ref="E14:J14"/>
    <mergeCell ref="A15:J15"/>
    <mergeCell ref="A16:B16"/>
    <mergeCell ref="C16:D16"/>
    <mergeCell ref="E16:F16"/>
    <mergeCell ref="G16:J16"/>
    <mergeCell ref="A17:B17"/>
    <mergeCell ref="C17:J17"/>
    <mergeCell ref="A18:J18"/>
    <mergeCell ref="A19:B19"/>
    <mergeCell ref="C19:D19"/>
    <mergeCell ref="E19:F19"/>
    <mergeCell ref="G19:J19"/>
    <mergeCell ref="A22:B22"/>
    <mergeCell ref="C22:D22"/>
    <mergeCell ref="E22:F22"/>
    <mergeCell ref="G22:J22"/>
    <mergeCell ref="A20:B20"/>
    <mergeCell ref="C20:D20"/>
    <mergeCell ref="E20:F20"/>
    <mergeCell ref="G20:J20"/>
    <mergeCell ref="A21:B21"/>
    <mergeCell ref="C21:D21"/>
    <mergeCell ref="E21:F21"/>
    <mergeCell ref="G21:J2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showGridLines="0" workbookViewId="0">
      <selection sqref="A1:I1"/>
    </sheetView>
  </sheetViews>
  <sheetFormatPr defaultRowHeight="14.25"/>
  <cols>
    <col min="1" max="1" width="16" customWidth="1"/>
    <col min="2" max="3" width="24" customWidth="1"/>
    <col min="4" max="4" width="16" customWidth="1"/>
    <col min="5" max="5" width="12" customWidth="1"/>
    <col min="6" max="6" width="32" customWidth="1"/>
    <col min="7" max="8" width="24" customWidth="1"/>
    <col min="9" max="9" width="34" customWidth="1"/>
  </cols>
  <sheetData>
    <row r="1" spans="1:9">
      <c r="A1" s="1" t="s">
        <v>330</v>
      </c>
      <c r="B1" s="1" t="s">
        <v>330</v>
      </c>
      <c r="C1" s="1" t="s">
        <v>330</v>
      </c>
      <c r="D1" s="1" t="s">
        <v>330</v>
      </c>
      <c r="E1" s="1" t="s">
        <v>330</v>
      </c>
      <c r="F1" s="1" t="s">
        <v>330</v>
      </c>
      <c r="G1" s="1" t="s">
        <v>330</v>
      </c>
      <c r="H1" s="1" t="s">
        <v>330</v>
      </c>
      <c r="I1" s="1" t="s">
        <v>330</v>
      </c>
    </row>
    <row r="3" spans="1:9" ht="15">
      <c r="A3" s="7" t="s">
        <v>331</v>
      </c>
      <c r="B3" s="7" t="s">
        <v>332</v>
      </c>
      <c r="C3" s="7" t="s">
        <v>333</v>
      </c>
      <c r="D3" s="7" t="s">
        <v>334</v>
      </c>
      <c r="E3" s="7" t="s">
        <v>52</v>
      </c>
      <c r="F3" s="7" t="s">
        <v>208</v>
      </c>
      <c r="G3" s="7" t="s">
        <v>209</v>
      </c>
      <c r="H3" s="7" t="s">
        <v>335</v>
      </c>
      <c r="I3" s="7" t="s">
        <v>47</v>
      </c>
    </row>
    <row r="4" spans="1:9">
      <c r="A4" s="2" t="s">
        <v>336</v>
      </c>
      <c r="B4" s="2" t="s">
        <v>337</v>
      </c>
      <c r="C4" s="2" t="s">
        <v>338</v>
      </c>
      <c r="D4" s="2" t="s">
        <v>339</v>
      </c>
      <c r="E4" s="2" t="s">
        <v>214</v>
      </c>
      <c r="F4" s="2" t="s">
        <v>340</v>
      </c>
      <c r="G4" s="2" t="s">
        <v>341</v>
      </c>
      <c r="H4" s="2" t="s">
        <v>342</v>
      </c>
      <c r="I4" s="2" t="s">
        <v>343</v>
      </c>
    </row>
    <row r="5" spans="1:9" ht="28.5">
      <c r="A5" s="2" t="s">
        <v>336</v>
      </c>
      <c r="B5" s="2" t="s">
        <v>344</v>
      </c>
      <c r="C5" s="2" t="s">
        <v>345</v>
      </c>
      <c r="D5" s="2" t="s">
        <v>93</v>
      </c>
      <c r="E5" s="2" t="s">
        <v>214</v>
      </c>
      <c r="F5" s="2" t="s">
        <v>80</v>
      </c>
      <c r="G5" s="2" t="s">
        <v>341</v>
      </c>
      <c r="H5" s="2" t="s">
        <v>346</v>
      </c>
      <c r="I5" s="2" t="s">
        <v>347</v>
      </c>
    </row>
    <row r="6" spans="1:9">
      <c r="A6" s="2" t="s">
        <v>336</v>
      </c>
      <c r="B6" s="2" t="s">
        <v>348</v>
      </c>
      <c r="C6" s="2" t="s">
        <v>212</v>
      </c>
      <c r="D6" s="2" t="s">
        <v>93</v>
      </c>
      <c r="E6" s="2" t="s">
        <v>214</v>
      </c>
      <c r="F6" s="2" t="s">
        <v>215</v>
      </c>
      <c r="G6" s="2" t="s">
        <v>217</v>
      </c>
      <c r="H6" s="2" t="s">
        <v>217</v>
      </c>
      <c r="I6" s="2" t="s">
        <v>349</v>
      </c>
    </row>
    <row r="7" spans="1:9">
      <c r="A7" s="2" t="s">
        <v>336</v>
      </c>
      <c r="B7" s="2" t="s">
        <v>350</v>
      </c>
      <c r="C7" s="2" t="s">
        <v>218</v>
      </c>
      <c r="D7" s="2" t="s">
        <v>219</v>
      </c>
      <c r="E7" s="2" t="s">
        <v>214</v>
      </c>
      <c r="F7" s="2" t="s">
        <v>220</v>
      </c>
      <c r="G7" s="2" t="s">
        <v>221</v>
      </c>
      <c r="H7" s="2" t="s">
        <v>351</v>
      </c>
      <c r="I7" s="2" t="s">
        <v>352</v>
      </c>
    </row>
    <row r="8" spans="1:9">
      <c r="A8" s="2" t="s">
        <v>336</v>
      </c>
      <c r="B8" s="2" t="s">
        <v>353</v>
      </c>
      <c r="C8" s="2" t="s">
        <v>223</v>
      </c>
      <c r="D8" s="2" t="s">
        <v>339</v>
      </c>
      <c r="E8" s="2" t="s">
        <v>214</v>
      </c>
      <c r="F8" s="2" t="s">
        <v>354</v>
      </c>
      <c r="G8" s="2" t="s">
        <v>226</v>
      </c>
      <c r="H8" s="2" t="s">
        <v>227</v>
      </c>
      <c r="I8" s="2" t="s">
        <v>355</v>
      </c>
    </row>
    <row r="9" spans="1:9">
      <c r="A9" s="2" t="s">
        <v>336</v>
      </c>
      <c r="B9" s="2" t="s">
        <v>356</v>
      </c>
      <c r="C9" s="2" t="s">
        <v>228</v>
      </c>
      <c r="D9" s="2" t="s">
        <v>339</v>
      </c>
      <c r="E9" s="2" t="s">
        <v>214</v>
      </c>
      <c r="F9" s="2" t="s">
        <v>230</v>
      </c>
      <c r="G9" s="2" t="s">
        <v>231</v>
      </c>
      <c r="H9" s="2" t="s">
        <v>232</v>
      </c>
      <c r="I9" s="2"/>
    </row>
    <row r="10" spans="1:9">
      <c r="A10" s="2" t="s">
        <v>336</v>
      </c>
      <c r="B10" s="2" t="s">
        <v>357</v>
      </c>
      <c r="C10" s="2" t="s">
        <v>233</v>
      </c>
      <c r="D10" s="2" t="s">
        <v>339</v>
      </c>
      <c r="E10" s="2" t="s">
        <v>214</v>
      </c>
      <c r="F10" s="2" t="s">
        <v>234</v>
      </c>
      <c r="G10" s="2" t="s">
        <v>236</v>
      </c>
      <c r="H10" s="2" t="s">
        <v>237</v>
      </c>
      <c r="I10" s="2" t="s">
        <v>358</v>
      </c>
    </row>
    <row r="11" spans="1:9">
      <c r="A11" s="2" t="s">
        <v>336</v>
      </c>
      <c r="B11" s="2" t="s">
        <v>359</v>
      </c>
      <c r="C11" s="2" t="s">
        <v>239</v>
      </c>
      <c r="D11" s="2" t="s">
        <v>219</v>
      </c>
      <c r="E11" s="2" t="s">
        <v>240</v>
      </c>
      <c r="F11" s="2" t="s">
        <v>241</v>
      </c>
      <c r="G11" s="2" t="s">
        <v>242</v>
      </c>
      <c r="H11" s="2" t="s">
        <v>243</v>
      </c>
      <c r="I11" s="2" t="s">
        <v>360</v>
      </c>
    </row>
    <row r="12" spans="1:9">
      <c r="A12" s="2" t="s">
        <v>336</v>
      </c>
      <c r="B12" s="2" t="s">
        <v>361</v>
      </c>
      <c r="C12" s="2" t="s">
        <v>244</v>
      </c>
      <c r="D12" s="2" t="s">
        <v>362</v>
      </c>
      <c r="E12" s="2" t="s">
        <v>240</v>
      </c>
      <c r="F12" s="2" t="s">
        <v>246</v>
      </c>
      <c r="G12" s="2" t="s">
        <v>247</v>
      </c>
      <c r="H12" s="2" t="s">
        <v>248</v>
      </c>
      <c r="I12" s="2"/>
    </row>
    <row r="13" spans="1:9">
      <c r="A13" s="2" t="s">
        <v>336</v>
      </c>
      <c r="B13" s="2" t="s">
        <v>363</v>
      </c>
      <c r="C13" s="2" t="s">
        <v>250</v>
      </c>
      <c r="D13" s="2" t="s">
        <v>339</v>
      </c>
      <c r="E13" s="2" t="s">
        <v>214</v>
      </c>
      <c r="F13" s="2" t="s">
        <v>230</v>
      </c>
      <c r="G13" s="2" t="s">
        <v>251</v>
      </c>
      <c r="H13" s="2" t="s">
        <v>252</v>
      </c>
      <c r="I13" s="2"/>
    </row>
    <row r="14" spans="1:9">
      <c r="A14" s="2" t="s">
        <v>336</v>
      </c>
      <c r="B14" s="2" t="s">
        <v>364</v>
      </c>
      <c r="C14" s="2" t="s">
        <v>253</v>
      </c>
      <c r="D14" s="2" t="s">
        <v>339</v>
      </c>
      <c r="E14" s="2" t="s">
        <v>214</v>
      </c>
      <c r="F14" s="2" t="s">
        <v>234</v>
      </c>
      <c r="G14" s="2" t="s">
        <v>254</v>
      </c>
      <c r="H14" s="2" t="s">
        <v>255</v>
      </c>
      <c r="I14" s="2"/>
    </row>
    <row r="15" spans="1:9">
      <c r="A15" s="2" t="s">
        <v>336</v>
      </c>
      <c r="B15" s="2" t="s">
        <v>365</v>
      </c>
      <c r="C15" s="2" t="s">
        <v>256</v>
      </c>
      <c r="D15" s="2" t="s">
        <v>339</v>
      </c>
      <c r="E15" s="2" t="s">
        <v>214</v>
      </c>
      <c r="F15" s="2" t="s">
        <v>230</v>
      </c>
      <c r="G15" s="2" t="s">
        <v>366</v>
      </c>
      <c r="H15" s="2" t="s">
        <v>367</v>
      </c>
      <c r="I15" s="2"/>
    </row>
    <row r="16" spans="1:9">
      <c r="A16" s="2" t="s">
        <v>336</v>
      </c>
      <c r="B16" s="2" t="s">
        <v>368</v>
      </c>
      <c r="C16" s="2" t="s">
        <v>286</v>
      </c>
      <c r="D16" s="2" t="s">
        <v>339</v>
      </c>
      <c r="E16" s="2" t="s">
        <v>214</v>
      </c>
      <c r="F16" s="2" t="s">
        <v>234</v>
      </c>
      <c r="G16" s="2" t="s">
        <v>369</v>
      </c>
      <c r="H16" s="2" t="s">
        <v>370</v>
      </c>
      <c r="I16" s="2"/>
    </row>
    <row r="17" spans="1:9">
      <c r="A17" s="2" t="s">
        <v>336</v>
      </c>
      <c r="B17" s="2" t="s">
        <v>371</v>
      </c>
      <c r="C17" s="2" t="s">
        <v>288</v>
      </c>
      <c r="D17" s="2" t="s">
        <v>339</v>
      </c>
      <c r="E17" s="2" t="s">
        <v>214</v>
      </c>
      <c r="F17" s="2" t="s">
        <v>372</v>
      </c>
      <c r="G17" s="2" t="s">
        <v>373</v>
      </c>
      <c r="H17" s="2" t="s">
        <v>374</v>
      </c>
      <c r="I17" s="2"/>
    </row>
    <row r="18" spans="1:9">
      <c r="A18" s="2" t="s">
        <v>375</v>
      </c>
      <c r="B18" s="2" t="s">
        <v>376</v>
      </c>
      <c r="C18" s="2" t="s">
        <v>377</v>
      </c>
      <c r="D18" s="2" t="s">
        <v>378</v>
      </c>
      <c r="E18" s="2" t="s">
        <v>214</v>
      </c>
      <c r="F18" s="2" t="s">
        <v>379</v>
      </c>
      <c r="G18" s="2" t="s">
        <v>266</v>
      </c>
      <c r="H18" s="2" t="s">
        <v>266</v>
      </c>
      <c r="I18" s="2" t="s">
        <v>380</v>
      </c>
    </row>
    <row r="19" spans="1:9">
      <c r="A19" s="2" t="s">
        <v>375</v>
      </c>
      <c r="B19" s="2" t="s">
        <v>381</v>
      </c>
      <c r="C19" s="2" t="s">
        <v>290</v>
      </c>
      <c r="D19" s="2" t="s">
        <v>339</v>
      </c>
      <c r="E19" s="2" t="s">
        <v>214</v>
      </c>
      <c r="F19" s="2" t="s">
        <v>382</v>
      </c>
      <c r="G19" s="2" t="s">
        <v>383</v>
      </c>
      <c r="H19" s="2" t="s">
        <v>384</v>
      </c>
      <c r="I19" s="2"/>
    </row>
    <row r="20" spans="1:9">
      <c r="A20" s="2" t="s">
        <v>375</v>
      </c>
      <c r="B20" s="2" t="s">
        <v>385</v>
      </c>
      <c r="C20" s="2" t="s">
        <v>291</v>
      </c>
      <c r="D20" s="2" t="s">
        <v>378</v>
      </c>
      <c r="E20" s="2" t="s">
        <v>214</v>
      </c>
      <c r="F20" s="2" t="s">
        <v>386</v>
      </c>
      <c r="G20" s="2" t="s">
        <v>387</v>
      </c>
      <c r="H20" s="2" t="s">
        <v>388</v>
      </c>
      <c r="I20" s="2"/>
    </row>
    <row r="21" spans="1:9">
      <c r="A21" s="2" t="s">
        <v>375</v>
      </c>
      <c r="B21" s="2" t="s">
        <v>389</v>
      </c>
      <c r="C21" s="2" t="s">
        <v>292</v>
      </c>
      <c r="D21" s="2" t="s">
        <v>339</v>
      </c>
      <c r="E21" s="2" t="s">
        <v>269</v>
      </c>
      <c r="F21" s="2" t="s">
        <v>390</v>
      </c>
      <c r="G21" s="2" t="s">
        <v>391</v>
      </c>
      <c r="H21" s="2" t="s">
        <v>392</v>
      </c>
      <c r="I21" s="2"/>
    </row>
    <row r="22" spans="1:9">
      <c r="A22" s="2" t="s">
        <v>336</v>
      </c>
      <c r="B22" s="2" t="s">
        <v>393</v>
      </c>
      <c r="C22" s="2" t="s">
        <v>309</v>
      </c>
      <c r="D22" s="2" t="s">
        <v>339</v>
      </c>
      <c r="E22" s="2" t="s">
        <v>269</v>
      </c>
      <c r="F22" s="2" t="s">
        <v>230</v>
      </c>
      <c r="G22" s="2" t="s">
        <v>394</v>
      </c>
      <c r="H22" s="2" t="s">
        <v>395</v>
      </c>
      <c r="I22" s="2"/>
    </row>
    <row r="23" spans="1:9">
      <c r="A23" s="2" t="s">
        <v>336</v>
      </c>
      <c r="B23" s="2" t="s">
        <v>396</v>
      </c>
      <c r="C23" s="2" t="s">
        <v>397</v>
      </c>
      <c r="D23" s="2" t="s">
        <v>93</v>
      </c>
      <c r="E23" s="2" t="s">
        <v>269</v>
      </c>
      <c r="F23" s="2" t="s">
        <v>270</v>
      </c>
      <c r="G23" s="2" t="s">
        <v>398</v>
      </c>
      <c r="H23" s="2" t="s">
        <v>399</v>
      </c>
      <c r="I23" s="2"/>
    </row>
    <row r="24" spans="1:9">
      <c r="A24" s="2" t="s">
        <v>336</v>
      </c>
      <c r="B24" s="2" t="s">
        <v>400</v>
      </c>
      <c r="C24" s="2" t="s">
        <v>401</v>
      </c>
      <c r="D24" s="2" t="s">
        <v>93</v>
      </c>
      <c r="E24" s="2" t="s">
        <v>269</v>
      </c>
      <c r="F24" s="2" t="s">
        <v>270</v>
      </c>
      <c r="G24" s="2" t="s">
        <v>402</v>
      </c>
      <c r="H24" s="2" t="s">
        <v>403</v>
      </c>
      <c r="I24" s="2"/>
    </row>
    <row r="25" spans="1:9">
      <c r="A25" s="2" t="s">
        <v>336</v>
      </c>
      <c r="B25" s="2" t="s">
        <v>404</v>
      </c>
      <c r="C25" s="2" t="s">
        <v>405</v>
      </c>
      <c r="D25" s="2" t="s">
        <v>339</v>
      </c>
      <c r="E25" s="2" t="s">
        <v>269</v>
      </c>
      <c r="F25" s="2" t="s">
        <v>406</v>
      </c>
      <c r="G25" s="2" t="s">
        <v>407</v>
      </c>
      <c r="H25" s="2" t="s">
        <v>403</v>
      </c>
      <c r="I25" s="2" t="s">
        <v>408</v>
      </c>
    </row>
  </sheetData>
  <mergeCells count="1">
    <mergeCell ref="A1:I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Z105"/>
  <sheetViews>
    <sheetView showGridLines="0" tabSelected="1" workbookViewId="0">
      <selection activeCell="A16" sqref="A16"/>
    </sheetView>
  </sheetViews>
  <sheetFormatPr defaultRowHeight="14.25"/>
  <cols>
    <col min="1" max="1" width="18" customWidth="1"/>
    <col min="2" max="2" width="12" customWidth="1"/>
    <col min="3" max="3" width="10.5" customWidth="1"/>
    <col min="4" max="4" width="11.75" customWidth="1"/>
    <col min="5" max="6" width="10.875" customWidth="1"/>
    <col min="7" max="7" width="14" customWidth="1"/>
    <col min="8" max="8" width="18" customWidth="1"/>
    <col min="9" max="9" width="13" customWidth="1"/>
    <col min="10" max="11" width="18" customWidth="1"/>
    <col min="12" max="12" width="21.25" customWidth="1"/>
    <col min="13" max="13" width="16" customWidth="1"/>
    <col min="14" max="14" width="18" customWidth="1"/>
    <col min="15" max="15" width="32" customWidth="1"/>
    <col min="16" max="16" width="14" customWidth="1"/>
    <col min="17" max="17" width="17.375" customWidth="1"/>
    <col min="18" max="18" width="20.375" customWidth="1"/>
    <col min="19" max="19" width="28" customWidth="1"/>
    <col min="20" max="20" width="11.625" customWidth="1"/>
    <col min="21" max="21" width="10" customWidth="1"/>
    <col min="22" max="22" width="30" customWidth="1"/>
    <col min="23" max="23" width="21.125" customWidth="1"/>
    <col min="24" max="24" width="20.125" customWidth="1"/>
    <col min="25" max="25" width="14" customWidth="1"/>
    <col min="26" max="26" width="12.375" customWidth="1"/>
  </cols>
  <sheetData>
    <row r="1" spans="1:26" ht="15">
      <c r="A1" s="1" t="s">
        <v>409</v>
      </c>
      <c r="B1" s="1" t="s">
        <v>409</v>
      </c>
      <c r="C1" s="1" t="s">
        <v>409</v>
      </c>
      <c r="D1" s="1" t="s">
        <v>409</v>
      </c>
      <c r="E1" s="1" t="s">
        <v>409</v>
      </c>
      <c r="F1" s="1"/>
      <c r="G1" s="1" t="s">
        <v>409</v>
      </c>
      <c r="H1" s="1" t="s">
        <v>409</v>
      </c>
      <c r="I1" s="1" t="s">
        <v>409</v>
      </c>
      <c r="J1" s="1" t="s">
        <v>409</v>
      </c>
      <c r="K1" s="1" t="s">
        <v>409</v>
      </c>
      <c r="L1" s="1" t="s">
        <v>409</v>
      </c>
      <c r="M1" s="1" t="s">
        <v>409</v>
      </c>
      <c r="N1" s="1" t="s">
        <v>409</v>
      </c>
      <c r="O1" s="1" t="s">
        <v>409</v>
      </c>
      <c r="P1" s="1" t="s">
        <v>409</v>
      </c>
      <c r="Q1" s="1" t="s">
        <v>409</v>
      </c>
      <c r="R1" s="1" t="s">
        <v>409</v>
      </c>
      <c r="S1" s="1" t="s">
        <v>409</v>
      </c>
      <c r="T1" s="1" t="s">
        <v>409</v>
      </c>
      <c r="U1" s="1" t="s">
        <v>409</v>
      </c>
      <c r="V1" s="1" t="s">
        <v>409</v>
      </c>
      <c r="W1" s="1" t="s">
        <v>409</v>
      </c>
      <c r="X1" s="1" t="s">
        <v>409</v>
      </c>
      <c r="Y1" s="1" t="s">
        <v>409</v>
      </c>
      <c r="Z1" s="1" t="s">
        <v>409</v>
      </c>
    </row>
    <row r="3" spans="1:26">
      <c r="A3" s="32" t="s">
        <v>534</v>
      </c>
      <c r="B3" t="s">
        <v>541</v>
      </c>
    </row>
    <row r="4" spans="1:26">
      <c r="D4" s="33" t="s">
        <v>534</v>
      </c>
      <c r="F4" s="35" t="s">
        <v>534</v>
      </c>
      <c r="G4" s="34"/>
      <c r="H4" s="36"/>
      <c r="I4" s="38" t="s">
        <v>418</v>
      </c>
      <c r="J4" s="38" t="s">
        <v>430</v>
      </c>
      <c r="K4" s="34" t="s">
        <v>430</v>
      </c>
      <c r="L4" s="36"/>
      <c r="M4" s="39" t="s">
        <v>418</v>
      </c>
      <c r="N4" s="39"/>
      <c r="O4" s="38" t="s">
        <v>418</v>
      </c>
    </row>
    <row r="5" spans="1:26" ht="16.5">
      <c r="A5" s="7" t="s">
        <v>524</v>
      </c>
      <c r="B5" s="7" t="s">
        <v>345</v>
      </c>
      <c r="C5" s="7" t="s">
        <v>525</v>
      </c>
      <c r="D5" s="30" t="s">
        <v>526</v>
      </c>
      <c r="E5" s="7" t="s">
        <v>223</v>
      </c>
      <c r="F5" s="31" t="s">
        <v>527</v>
      </c>
      <c r="G5" s="30" t="s">
        <v>533</v>
      </c>
      <c r="H5" s="30" t="s">
        <v>528</v>
      </c>
      <c r="I5" s="37" t="s">
        <v>529</v>
      </c>
      <c r="J5" s="37" t="s">
        <v>530</v>
      </c>
      <c r="K5" s="7" t="s">
        <v>531</v>
      </c>
      <c r="L5" s="7" t="s">
        <v>532</v>
      </c>
      <c r="M5" s="37" t="s">
        <v>410</v>
      </c>
      <c r="N5" s="37" t="s">
        <v>411</v>
      </c>
      <c r="O5" s="37" t="s">
        <v>412</v>
      </c>
      <c r="P5" s="7" t="s">
        <v>540</v>
      </c>
      <c r="Q5" s="7" t="s">
        <v>539</v>
      </c>
      <c r="R5" s="7" t="s">
        <v>538</v>
      </c>
      <c r="S5" s="7" t="s">
        <v>537</v>
      </c>
      <c r="T5" s="7" t="s">
        <v>536</v>
      </c>
      <c r="U5" s="7" t="s">
        <v>535</v>
      </c>
      <c r="V5" s="7" t="s">
        <v>413</v>
      </c>
      <c r="W5" s="7" t="s">
        <v>414</v>
      </c>
      <c r="X5" s="7" t="s">
        <v>415</v>
      </c>
      <c r="Y5" s="7" t="s">
        <v>416</v>
      </c>
      <c r="Z5" s="7" t="s">
        <v>47</v>
      </c>
    </row>
    <row r="6" spans="1:26" ht="28.5">
      <c r="A6" s="2" t="s">
        <v>542</v>
      </c>
      <c r="B6" s="2" t="s">
        <v>543</v>
      </c>
      <c r="C6" s="2" t="s">
        <v>418</v>
      </c>
      <c r="D6" s="3">
        <v>46032</v>
      </c>
      <c r="E6" s="2" t="s">
        <v>547</v>
      </c>
      <c r="F6" s="2" t="s">
        <v>544</v>
      </c>
      <c r="G6" s="2" t="s">
        <v>545</v>
      </c>
      <c r="H6" s="2" t="s">
        <v>420</v>
      </c>
      <c r="I6" s="3">
        <v>46038</v>
      </c>
      <c r="J6" s="10"/>
      <c r="K6" s="2" t="s">
        <v>421</v>
      </c>
      <c r="L6" s="2" t="s">
        <v>420</v>
      </c>
      <c r="M6" s="2" t="s">
        <v>419</v>
      </c>
      <c r="N6" s="2" t="s">
        <v>420</v>
      </c>
      <c r="O6" s="2" t="s">
        <v>422</v>
      </c>
      <c r="P6" s="2" t="s">
        <v>423</v>
      </c>
      <c r="Q6" s="2" t="s">
        <v>424</v>
      </c>
      <c r="R6" s="2" t="s">
        <v>425</v>
      </c>
      <c r="S6" s="2" t="s">
        <v>426</v>
      </c>
      <c r="T6" s="11">
        <v>2</v>
      </c>
      <c r="U6" s="11">
        <f>SUMIF('07_상품상세_데이터'!$A$4:$A$103,A6,'07_상품상세_데이터'!$F$4:$F$103)</f>
        <v>0</v>
      </c>
      <c r="V6" s="2" t="s">
        <v>548</v>
      </c>
      <c r="W6" s="10">
        <v>46032</v>
      </c>
      <c r="X6" s="10">
        <v>46032</v>
      </c>
      <c r="Y6" s="2" t="s">
        <v>155</v>
      </c>
      <c r="Z6" s="2" t="s">
        <v>547</v>
      </c>
    </row>
    <row r="7" spans="1:26" ht="28.5">
      <c r="A7" s="2" t="s">
        <v>542</v>
      </c>
      <c r="B7" s="2" t="s">
        <v>429</v>
      </c>
      <c r="C7" s="2" t="s">
        <v>430</v>
      </c>
      <c r="D7" s="3">
        <v>46033</v>
      </c>
      <c r="E7" s="2" t="s">
        <v>547</v>
      </c>
      <c r="F7" s="2" t="s">
        <v>544</v>
      </c>
      <c r="G7" s="2" t="s">
        <v>545</v>
      </c>
      <c r="H7" s="2" t="s">
        <v>432</v>
      </c>
      <c r="I7" s="3"/>
      <c r="J7" s="10">
        <v>46040.25</v>
      </c>
      <c r="K7" s="2" t="s">
        <v>433</v>
      </c>
      <c r="L7" s="2" t="s">
        <v>434</v>
      </c>
      <c r="M7" s="2" t="s">
        <v>431</v>
      </c>
      <c r="N7" s="2" t="s">
        <v>432</v>
      </c>
      <c r="O7" s="2" t="s">
        <v>435</v>
      </c>
      <c r="P7" s="2" t="s">
        <v>546</v>
      </c>
      <c r="Q7" s="2" t="s">
        <v>425</v>
      </c>
      <c r="R7" s="2" t="s">
        <v>424</v>
      </c>
      <c r="S7" s="2" t="s">
        <v>436</v>
      </c>
      <c r="T7" s="11">
        <v>1</v>
      </c>
      <c r="U7" s="11">
        <f>SUMIF('07_상품상세_데이터'!$A$4:$A$103,A7,'07_상품상세_데이터'!$F$4:$F$103)</f>
        <v>0</v>
      </c>
      <c r="V7" s="2" t="s">
        <v>548</v>
      </c>
      <c r="W7" s="10">
        <v>46033.0625</v>
      </c>
      <c r="X7" s="10">
        <v>46033.072916666664</v>
      </c>
      <c r="Y7" s="2" t="s">
        <v>155</v>
      </c>
      <c r="Z7" s="2" t="s">
        <v>547</v>
      </c>
    </row>
    <row r="8" spans="1:26">
      <c r="A8" s="2"/>
      <c r="B8" s="2"/>
      <c r="C8" s="2"/>
      <c r="D8" s="3"/>
      <c r="E8" s="2"/>
      <c r="F8" s="2"/>
      <c r="G8" s="2"/>
      <c r="H8" s="2"/>
      <c r="I8" s="3"/>
      <c r="J8" s="10"/>
      <c r="K8" s="2"/>
      <c r="L8" s="2"/>
      <c r="M8" s="2"/>
      <c r="N8" s="2"/>
      <c r="O8" s="2"/>
      <c r="P8" s="2"/>
      <c r="Q8" s="2"/>
      <c r="R8" s="2"/>
      <c r="S8" s="2"/>
      <c r="T8" s="11">
        <f>COUNTIF('07_상품상세_데이터'!$A$4:$A$103,A8)</f>
        <v>0</v>
      </c>
      <c r="U8" s="11">
        <f>SUMIF('07_상품상세_데이터'!$A$4:$A$103,A8,'07_상품상세_데이터'!$F$4:$F$103)</f>
        <v>0</v>
      </c>
      <c r="V8" s="2"/>
      <c r="W8" s="10"/>
      <c r="X8" s="10"/>
      <c r="Y8" s="2"/>
      <c r="Z8" s="2"/>
    </row>
    <row r="9" spans="1:26">
      <c r="A9" s="2"/>
      <c r="B9" s="2"/>
      <c r="C9" s="2"/>
      <c r="D9" s="3"/>
      <c r="E9" s="2"/>
      <c r="F9" s="2"/>
      <c r="G9" s="2"/>
      <c r="H9" s="2"/>
      <c r="I9" s="3"/>
      <c r="J9" s="10"/>
      <c r="K9" s="2"/>
      <c r="L9" s="2"/>
      <c r="M9" s="2"/>
      <c r="N9" s="2"/>
      <c r="O9" s="2"/>
      <c r="P9" s="2"/>
      <c r="Q9" s="2"/>
      <c r="R9" s="2"/>
      <c r="S9" s="2"/>
      <c r="T9" s="11">
        <f>COUNTIF('07_상품상세_데이터'!$A$4:$A$103,A9)</f>
        <v>0</v>
      </c>
      <c r="U9" s="11">
        <f>SUMIF('07_상품상세_데이터'!$A$4:$A$103,A9,'07_상품상세_데이터'!$F$4:$F$103)</f>
        <v>0</v>
      </c>
      <c r="V9" s="2"/>
      <c r="W9" s="10"/>
      <c r="X9" s="10"/>
      <c r="Y9" s="2"/>
      <c r="Z9" s="2"/>
    </row>
    <row r="10" spans="1:26">
      <c r="A10" s="2"/>
      <c r="B10" s="2"/>
      <c r="C10" s="2"/>
      <c r="D10" s="3"/>
      <c r="E10" s="2"/>
      <c r="F10" s="2"/>
      <c r="G10" s="2"/>
      <c r="H10" s="2"/>
      <c r="I10" s="3"/>
      <c r="J10" s="10"/>
      <c r="K10" s="2"/>
      <c r="L10" s="2"/>
      <c r="M10" s="2"/>
      <c r="N10" s="2"/>
      <c r="O10" s="2"/>
      <c r="P10" s="2"/>
      <c r="Q10" s="2"/>
      <c r="R10" s="2"/>
      <c r="S10" s="2"/>
      <c r="T10" s="11">
        <f>COUNTIF('07_상품상세_데이터'!$A$4:$A$103,A10)</f>
        <v>0</v>
      </c>
      <c r="U10" s="11">
        <f>SUMIF('07_상품상세_데이터'!$A$4:$A$103,A10,'07_상품상세_데이터'!$F$4:$F$103)</f>
        <v>0</v>
      </c>
      <c r="V10" s="2"/>
      <c r="W10" s="10"/>
      <c r="X10" s="10"/>
      <c r="Y10" s="2"/>
      <c r="Z10" s="2"/>
    </row>
    <row r="11" spans="1:26">
      <c r="A11" s="2"/>
      <c r="B11" s="2"/>
      <c r="C11" s="2"/>
      <c r="D11" s="3"/>
      <c r="E11" s="2"/>
      <c r="F11" s="2"/>
      <c r="G11" s="2"/>
      <c r="H11" s="2"/>
      <c r="I11" s="3"/>
      <c r="J11" s="10"/>
      <c r="K11" s="2"/>
      <c r="L11" s="2"/>
      <c r="M11" s="2"/>
      <c r="N11" s="2"/>
      <c r="O11" s="2"/>
      <c r="P11" s="2"/>
      <c r="Q11" s="2"/>
      <c r="R11" s="2"/>
      <c r="S11" s="2"/>
      <c r="T11" s="11">
        <f>COUNTIF('07_상품상세_데이터'!$A$4:$A$103,A11)</f>
        <v>0</v>
      </c>
      <c r="U11" s="11">
        <f>SUMIF('07_상품상세_데이터'!$A$4:$A$103,A11,'07_상품상세_데이터'!$F$4:$F$103)</f>
        <v>0</v>
      </c>
      <c r="V11" s="2"/>
      <c r="W11" s="10"/>
      <c r="X11" s="10"/>
      <c r="Y11" s="2"/>
      <c r="Z11" s="2"/>
    </row>
    <row r="12" spans="1:26">
      <c r="A12" s="2"/>
      <c r="B12" s="2"/>
      <c r="C12" s="2"/>
      <c r="D12" s="3"/>
      <c r="E12" s="2"/>
      <c r="F12" s="2"/>
      <c r="G12" s="2"/>
      <c r="H12" s="2"/>
      <c r="I12" s="3"/>
      <c r="J12" s="10"/>
      <c r="K12" s="2"/>
      <c r="L12" s="2"/>
      <c r="M12" s="2"/>
      <c r="N12" s="2"/>
      <c r="O12" s="2"/>
      <c r="P12" s="2"/>
      <c r="Q12" s="2"/>
      <c r="R12" s="2"/>
      <c r="S12" s="2"/>
      <c r="T12" s="11">
        <f>COUNTIF('07_상품상세_데이터'!$A$4:$A$103,A12)</f>
        <v>0</v>
      </c>
      <c r="U12" s="11">
        <f>SUMIF('07_상품상세_데이터'!$A$4:$A$103,A12,'07_상품상세_데이터'!$F$4:$F$103)</f>
        <v>0</v>
      </c>
      <c r="V12" s="2"/>
      <c r="W12" s="10"/>
      <c r="X12" s="10"/>
      <c r="Y12" s="2"/>
      <c r="Z12" s="2"/>
    </row>
    <row r="13" spans="1:26">
      <c r="A13" s="2"/>
      <c r="B13" s="2"/>
      <c r="C13" s="2"/>
      <c r="D13" s="3"/>
      <c r="E13" s="2"/>
      <c r="F13" s="2"/>
      <c r="G13" s="2"/>
      <c r="H13" s="2"/>
      <c r="I13" s="3"/>
      <c r="J13" s="10"/>
      <c r="K13" s="2"/>
      <c r="L13" s="2"/>
      <c r="M13" s="2"/>
      <c r="N13" s="2"/>
      <c r="O13" s="2"/>
      <c r="P13" s="2"/>
      <c r="Q13" s="2"/>
      <c r="R13" s="2"/>
      <c r="S13" s="2"/>
      <c r="T13" s="11">
        <f>COUNTIF('07_상품상세_데이터'!$A$4:$A$103,A13)</f>
        <v>0</v>
      </c>
      <c r="U13" s="11">
        <f>SUMIF('07_상품상세_데이터'!$A$4:$A$103,A13,'07_상품상세_데이터'!$F$4:$F$103)</f>
        <v>0</v>
      </c>
      <c r="V13" s="2"/>
      <c r="W13" s="10"/>
      <c r="X13" s="10"/>
      <c r="Y13" s="2"/>
      <c r="Z13" s="2"/>
    </row>
    <row r="14" spans="1:26">
      <c r="A14" s="2"/>
      <c r="B14" s="2"/>
      <c r="C14" s="2"/>
      <c r="D14" s="3"/>
      <c r="E14" s="2"/>
      <c r="F14" s="2"/>
      <c r="G14" s="2"/>
      <c r="H14" s="2"/>
      <c r="I14" s="3"/>
      <c r="J14" s="10"/>
      <c r="K14" s="2"/>
      <c r="L14" s="2"/>
      <c r="M14" s="2"/>
      <c r="N14" s="2"/>
      <c r="O14" s="2"/>
      <c r="P14" s="2"/>
      <c r="Q14" s="2"/>
      <c r="R14" s="2"/>
      <c r="S14" s="2"/>
      <c r="T14" s="11">
        <f>COUNTIF('07_상품상세_데이터'!$A$4:$A$103,A14)</f>
        <v>0</v>
      </c>
      <c r="U14" s="11">
        <f>SUMIF('07_상품상세_데이터'!$A$4:$A$103,A14,'07_상품상세_데이터'!$F$4:$F$103)</f>
        <v>0</v>
      </c>
      <c r="V14" s="2"/>
      <c r="W14" s="10"/>
      <c r="X14" s="10"/>
      <c r="Y14" s="2"/>
      <c r="Z14" s="2"/>
    </row>
    <row r="15" spans="1:26">
      <c r="A15" s="2"/>
      <c r="B15" s="2"/>
      <c r="C15" s="2"/>
      <c r="D15" s="3"/>
      <c r="E15" s="2"/>
      <c r="F15" s="2"/>
      <c r="G15" s="2"/>
      <c r="H15" s="2"/>
      <c r="I15" s="3"/>
      <c r="J15" s="10"/>
      <c r="K15" s="2"/>
      <c r="L15" s="2"/>
      <c r="M15" s="2"/>
      <c r="N15" s="2"/>
      <c r="O15" s="2"/>
      <c r="P15" s="2"/>
      <c r="Q15" s="2"/>
      <c r="R15" s="2"/>
      <c r="S15" s="2"/>
      <c r="T15" s="11">
        <f>COUNTIF('07_상품상세_데이터'!$A$4:$A$103,A15)</f>
        <v>0</v>
      </c>
      <c r="U15" s="11">
        <f>SUMIF('07_상품상세_데이터'!$A$4:$A$103,A15,'07_상품상세_데이터'!$F$4:$F$103)</f>
        <v>0</v>
      </c>
      <c r="V15" s="2"/>
      <c r="W15" s="10"/>
      <c r="X15" s="10"/>
      <c r="Y15" s="2"/>
      <c r="Z15" s="2"/>
    </row>
    <row r="16" spans="1:26">
      <c r="A16" s="2"/>
      <c r="B16" s="2"/>
      <c r="C16" s="2"/>
      <c r="D16" s="3"/>
      <c r="E16" s="2"/>
      <c r="F16" s="2"/>
      <c r="G16" s="2"/>
      <c r="H16" s="2"/>
      <c r="I16" s="3"/>
      <c r="J16" s="10"/>
      <c r="K16" s="2"/>
      <c r="L16" s="2"/>
      <c r="M16" s="2"/>
      <c r="N16" s="2"/>
      <c r="O16" s="2"/>
      <c r="P16" s="2"/>
      <c r="Q16" s="2"/>
      <c r="R16" s="2"/>
      <c r="S16" s="2"/>
      <c r="T16" s="11">
        <f>COUNTIF('07_상품상세_데이터'!$A$4:$A$103,A16)</f>
        <v>0</v>
      </c>
      <c r="U16" s="11">
        <f>SUMIF('07_상품상세_데이터'!$A$4:$A$103,A16,'07_상품상세_데이터'!$F$4:$F$103)</f>
        <v>0</v>
      </c>
      <c r="V16" s="2"/>
      <c r="W16" s="10"/>
      <c r="X16" s="10"/>
      <c r="Y16" s="2"/>
      <c r="Z16" s="2"/>
    </row>
    <row r="17" spans="1:26">
      <c r="A17" s="2"/>
      <c r="B17" s="2"/>
      <c r="C17" s="2"/>
      <c r="D17" s="3"/>
      <c r="E17" s="2"/>
      <c r="F17" s="2"/>
      <c r="G17" s="2"/>
      <c r="H17" s="2"/>
      <c r="I17" s="3"/>
      <c r="J17" s="10"/>
      <c r="K17" s="2"/>
      <c r="L17" s="2"/>
      <c r="M17" s="2"/>
      <c r="N17" s="2"/>
      <c r="O17" s="2"/>
      <c r="P17" s="2"/>
      <c r="Q17" s="2"/>
      <c r="R17" s="2"/>
      <c r="S17" s="2"/>
      <c r="T17" s="11">
        <f>COUNTIF('07_상품상세_데이터'!$A$4:$A$103,A17)</f>
        <v>0</v>
      </c>
      <c r="U17" s="11">
        <f>SUMIF('07_상품상세_데이터'!$A$4:$A$103,A17,'07_상품상세_데이터'!$F$4:$F$103)</f>
        <v>0</v>
      </c>
      <c r="V17" s="2"/>
      <c r="W17" s="10"/>
      <c r="X17" s="10"/>
      <c r="Y17" s="2"/>
      <c r="Z17" s="2"/>
    </row>
    <row r="18" spans="1:26">
      <c r="A18" s="2"/>
      <c r="B18" s="2"/>
      <c r="C18" s="2"/>
      <c r="D18" s="3"/>
      <c r="E18" s="2"/>
      <c r="F18" s="2"/>
      <c r="G18" s="2"/>
      <c r="H18" s="2"/>
      <c r="I18" s="3"/>
      <c r="J18" s="10"/>
      <c r="K18" s="2"/>
      <c r="L18" s="2"/>
      <c r="M18" s="2"/>
      <c r="N18" s="2"/>
      <c r="O18" s="2"/>
      <c r="P18" s="2"/>
      <c r="Q18" s="2"/>
      <c r="R18" s="2"/>
      <c r="S18" s="2"/>
      <c r="T18" s="11">
        <f>COUNTIF('07_상품상세_데이터'!$A$4:$A$103,A18)</f>
        <v>0</v>
      </c>
      <c r="U18" s="11">
        <f>SUMIF('07_상품상세_데이터'!$A$4:$A$103,A18,'07_상품상세_데이터'!$F$4:$F$103)</f>
        <v>0</v>
      </c>
      <c r="V18" s="2"/>
      <c r="W18" s="10"/>
      <c r="X18" s="10"/>
      <c r="Y18" s="2"/>
      <c r="Z18" s="2"/>
    </row>
    <row r="19" spans="1:26">
      <c r="A19" s="2"/>
      <c r="B19" s="2"/>
      <c r="C19" s="2"/>
      <c r="D19" s="3"/>
      <c r="E19" s="2"/>
      <c r="F19" s="2"/>
      <c r="G19" s="2"/>
      <c r="H19" s="2"/>
      <c r="I19" s="3"/>
      <c r="J19" s="10"/>
      <c r="K19" s="2"/>
      <c r="L19" s="2"/>
      <c r="M19" s="2"/>
      <c r="N19" s="2"/>
      <c r="O19" s="2"/>
      <c r="P19" s="2"/>
      <c r="Q19" s="2"/>
      <c r="R19" s="2"/>
      <c r="S19" s="2"/>
      <c r="T19" s="11">
        <f>COUNTIF('07_상품상세_데이터'!$A$4:$A$103,A19)</f>
        <v>0</v>
      </c>
      <c r="U19" s="11">
        <f>SUMIF('07_상품상세_데이터'!$A$4:$A$103,A19,'07_상품상세_데이터'!$F$4:$F$103)</f>
        <v>0</v>
      </c>
      <c r="V19" s="2"/>
      <c r="W19" s="10"/>
      <c r="X19" s="10"/>
      <c r="Y19" s="2"/>
      <c r="Z19" s="2"/>
    </row>
    <row r="20" spans="1:26">
      <c r="A20" s="2"/>
      <c r="B20" s="2"/>
      <c r="C20" s="2"/>
      <c r="D20" s="3"/>
      <c r="E20" s="2"/>
      <c r="F20" s="2"/>
      <c r="G20" s="2"/>
      <c r="H20" s="2"/>
      <c r="I20" s="3"/>
      <c r="J20" s="10"/>
      <c r="K20" s="2"/>
      <c r="L20" s="2"/>
      <c r="M20" s="2"/>
      <c r="N20" s="2"/>
      <c r="O20" s="2"/>
      <c r="P20" s="2"/>
      <c r="Q20" s="2"/>
      <c r="R20" s="2"/>
      <c r="S20" s="2"/>
      <c r="T20" s="11">
        <f>COUNTIF('07_상품상세_데이터'!$A$4:$A$103,A20)</f>
        <v>0</v>
      </c>
      <c r="U20" s="11">
        <f>SUMIF('07_상품상세_데이터'!$A$4:$A$103,A20,'07_상품상세_데이터'!$F$4:$F$103)</f>
        <v>0</v>
      </c>
      <c r="V20" s="2"/>
      <c r="W20" s="10"/>
      <c r="X20" s="10"/>
      <c r="Y20" s="2"/>
      <c r="Z20" s="2"/>
    </row>
    <row r="21" spans="1:26">
      <c r="A21" s="2"/>
      <c r="B21" s="2"/>
      <c r="C21" s="2"/>
      <c r="D21" s="3"/>
      <c r="E21" s="2"/>
      <c r="F21" s="2"/>
      <c r="G21" s="2"/>
      <c r="H21" s="2"/>
      <c r="I21" s="3"/>
      <c r="J21" s="10"/>
      <c r="K21" s="2"/>
      <c r="L21" s="2"/>
      <c r="M21" s="2"/>
      <c r="N21" s="2"/>
      <c r="O21" s="2"/>
      <c r="P21" s="2"/>
      <c r="Q21" s="2"/>
      <c r="R21" s="2"/>
      <c r="S21" s="2"/>
      <c r="T21" s="11">
        <f>COUNTIF('07_상품상세_데이터'!$A$4:$A$103,A21)</f>
        <v>0</v>
      </c>
      <c r="U21" s="11">
        <f>SUMIF('07_상품상세_데이터'!$A$4:$A$103,A21,'07_상품상세_데이터'!$F$4:$F$103)</f>
        <v>0</v>
      </c>
      <c r="V21" s="2"/>
      <c r="W21" s="10"/>
      <c r="X21" s="10"/>
      <c r="Y21" s="2"/>
      <c r="Z21" s="2"/>
    </row>
    <row r="22" spans="1:26">
      <c r="A22" s="2"/>
      <c r="B22" s="2"/>
      <c r="C22" s="2"/>
      <c r="D22" s="3"/>
      <c r="E22" s="2"/>
      <c r="F22" s="2"/>
      <c r="G22" s="2"/>
      <c r="H22" s="2"/>
      <c r="I22" s="3"/>
      <c r="J22" s="10"/>
      <c r="K22" s="2"/>
      <c r="L22" s="2"/>
      <c r="M22" s="2"/>
      <c r="N22" s="2"/>
      <c r="O22" s="2"/>
      <c r="P22" s="2"/>
      <c r="Q22" s="2"/>
      <c r="R22" s="2"/>
      <c r="S22" s="2"/>
      <c r="T22" s="11">
        <f>COUNTIF('07_상품상세_데이터'!$A$4:$A$103,A22)</f>
        <v>0</v>
      </c>
      <c r="U22" s="11">
        <f>SUMIF('07_상품상세_데이터'!$A$4:$A$103,A22,'07_상품상세_데이터'!$F$4:$F$103)</f>
        <v>0</v>
      </c>
      <c r="V22" s="2"/>
      <c r="W22" s="10"/>
      <c r="X22" s="10"/>
      <c r="Y22" s="2"/>
      <c r="Z22" s="2"/>
    </row>
    <row r="23" spans="1:26">
      <c r="A23" s="2"/>
      <c r="B23" s="2"/>
      <c r="C23" s="2"/>
      <c r="D23" s="3"/>
      <c r="E23" s="2"/>
      <c r="F23" s="2"/>
      <c r="G23" s="2"/>
      <c r="H23" s="2"/>
      <c r="I23" s="3"/>
      <c r="J23" s="10"/>
      <c r="K23" s="2"/>
      <c r="L23" s="2"/>
      <c r="M23" s="2"/>
      <c r="N23" s="2"/>
      <c r="O23" s="2"/>
      <c r="P23" s="2"/>
      <c r="Q23" s="2"/>
      <c r="R23" s="2"/>
      <c r="S23" s="2"/>
      <c r="T23" s="11">
        <f>COUNTIF('07_상품상세_데이터'!$A$4:$A$103,A23)</f>
        <v>0</v>
      </c>
      <c r="U23" s="11">
        <f>SUMIF('07_상품상세_데이터'!$A$4:$A$103,A23,'07_상품상세_데이터'!$F$4:$F$103)</f>
        <v>0</v>
      </c>
      <c r="V23" s="2"/>
      <c r="W23" s="10"/>
      <c r="X23" s="10"/>
      <c r="Y23" s="2"/>
      <c r="Z23" s="2"/>
    </row>
    <row r="24" spans="1:26">
      <c r="A24" s="2"/>
      <c r="B24" s="2"/>
      <c r="C24" s="2"/>
      <c r="D24" s="3"/>
      <c r="E24" s="2"/>
      <c r="F24" s="2"/>
      <c r="G24" s="2"/>
      <c r="H24" s="2"/>
      <c r="I24" s="3"/>
      <c r="J24" s="10"/>
      <c r="K24" s="2"/>
      <c r="L24" s="2"/>
      <c r="M24" s="2"/>
      <c r="N24" s="2"/>
      <c r="O24" s="2"/>
      <c r="P24" s="2"/>
      <c r="Q24" s="2"/>
      <c r="R24" s="2"/>
      <c r="S24" s="2"/>
      <c r="T24" s="11">
        <f>COUNTIF('07_상품상세_데이터'!$A$4:$A$103,A24)</f>
        <v>0</v>
      </c>
      <c r="U24" s="11">
        <f>SUMIF('07_상품상세_데이터'!$A$4:$A$103,A24,'07_상품상세_데이터'!$F$4:$F$103)</f>
        <v>0</v>
      </c>
      <c r="V24" s="2"/>
      <c r="W24" s="10"/>
      <c r="X24" s="10"/>
      <c r="Y24" s="2"/>
      <c r="Z24" s="2"/>
    </row>
    <row r="25" spans="1:26">
      <c r="A25" s="2"/>
      <c r="B25" s="2"/>
      <c r="C25" s="2"/>
      <c r="D25" s="3"/>
      <c r="E25" s="2"/>
      <c r="F25" s="2"/>
      <c r="G25" s="2"/>
      <c r="H25" s="2"/>
      <c r="I25" s="3"/>
      <c r="J25" s="10"/>
      <c r="K25" s="2"/>
      <c r="L25" s="2"/>
      <c r="M25" s="2"/>
      <c r="N25" s="2"/>
      <c r="O25" s="2"/>
      <c r="P25" s="2"/>
      <c r="Q25" s="2"/>
      <c r="R25" s="2"/>
      <c r="S25" s="2"/>
      <c r="T25" s="11">
        <f>COUNTIF('07_상품상세_데이터'!$A$4:$A$103,A25)</f>
        <v>0</v>
      </c>
      <c r="U25" s="11">
        <f>SUMIF('07_상품상세_데이터'!$A$4:$A$103,A25,'07_상품상세_데이터'!$F$4:$F$103)</f>
        <v>0</v>
      </c>
      <c r="V25" s="2"/>
      <c r="W25" s="10"/>
      <c r="X25" s="10"/>
      <c r="Y25" s="2"/>
      <c r="Z25" s="2"/>
    </row>
    <row r="26" spans="1:26">
      <c r="A26" s="2"/>
      <c r="B26" s="2"/>
      <c r="C26" s="2"/>
      <c r="D26" s="3"/>
      <c r="E26" s="2"/>
      <c r="F26" s="2"/>
      <c r="G26" s="2"/>
      <c r="H26" s="2"/>
      <c r="I26" s="3"/>
      <c r="J26" s="10"/>
      <c r="K26" s="2"/>
      <c r="L26" s="2"/>
      <c r="M26" s="2"/>
      <c r="N26" s="2"/>
      <c r="O26" s="2"/>
      <c r="P26" s="2"/>
      <c r="Q26" s="2"/>
      <c r="R26" s="2"/>
      <c r="S26" s="2"/>
      <c r="T26" s="11">
        <f>COUNTIF('07_상품상세_데이터'!$A$4:$A$103,A26)</f>
        <v>0</v>
      </c>
      <c r="U26" s="11">
        <f>SUMIF('07_상품상세_데이터'!$A$4:$A$103,A26,'07_상품상세_데이터'!$F$4:$F$103)</f>
        <v>0</v>
      </c>
      <c r="V26" s="2"/>
      <c r="W26" s="10"/>
      <c r="X26" s="10"/>
      <c r="Y26" s="2"/>
      <c r="Z26" s="2"/>
    </row>
    <row r="27" spans="1:26">
      <c r="A27" s="2"/>
      <c r="B27" s="2"/>
      <c r="C27" s="2"/>
      <c r="D27" s="3"/>
      <c r="E27" s="2"/>
      <c r="F27" s="2"/>
      <c r="G27" s="2"/>
      <c r="H27" s="2"/>
      <c r="I27" s="3"/>
      <c r="J27" s="10"/>
      <c r="K27" s="2"/>
      <c r="L27" s="2"/>
      <c r="M27" s="2"/>
      <c r="N27" s="2"/>
      <c r="O27" s="2"/>
      <c r="P27" s="2"/>
      <c r="Q27" s="2"/>
      <c r="R27" s="2"/>
      <c r="S27" s="2"/>
      <c r="T27" s="11">
        <f>COUNTIF('07_상품상세_데이터'!$A$4:$A$103,A27)</f>
        <v>0</v>
      </c>
      <c r="U27" s="11">
        <f>SUMIF('07_상품상세_데이터'!$A$4:$A$103,A27,'07_상품상세_데이터'!$F$4:$F$103)</f>
        <v>0</v>
      </c>
      <c r="V27" s="2"/>
      <c r="W27" s="10"/>
      <c r="X27" s="10"/>
      <c r="Y27" s="2"/>
      <c r="Z27" s="2"/>
    </row>
    <row r="28" spans="1:26">
      <c r="A28" s="2"/>
      <c r="B28" s="2"/>
      <c r="C28" s="2"/>
      <c r="D28" s="3"/>
      <c r="E28" s="2"/>
      <c r="F28" s="2"/>
      <c r="G28" s="2"/>
      <c r="H28" s="2"/>
      <c r="I28" s="3"/>
      <c r="J28" s="10"/>
      <c r="K28" s="2"/>
      <c r="L28" s="2"/>
      <c r="M28" s="2"/>
      <c r="N28" s="2"/>
      <c r="O28" s="2"/>
      <c r="P28" s="2"/>
      <c r="Q28" s="2"/>
      <c r="R28" s="2"/>
      <c r="S28" s="2"/>
      <c r="T28" s="11">
        <f>COUNTIF('07_상품상세_데이터'!$A$4:$A$103,A28)</f>
        <v>0</v>
      </c>
      <c r="U28" s="11">
        <f>SUMIF('07_상품상세_데이터'!$A$4:$A$103,A28,'07_상품상세_데이터'!$F$4:$F$103)</f>
        <v>0</v>
      </c>
      <c r="V28" s="2"/>
      <c r="W28" s="10"/>
      <c r="X28" s="10"/>
      <c r="Y28" s="2"/>
      <c r="Z28" s="2"/>
    </row>
    <row r="29" spans="1:26">
      <c r="A29" s="2"/>
      <c r="B29" s="2"/>
      <c r="C29" s="2"/>
      <c r="D29" s="3"/>
      <c r="E29" s="2"/>
      <c r="F29" s="2"/>
      <c r="G29" s="2"/>
      <c r="H29" s="2"/>
      <c r="I29" s="3"/>
      <c r="J29" s="10"/>
      <c r="K29" s="2"/>
      <c r="L29" s="2"/>
      <c r="M29" s="2"/>
      <c r="N29" s="2"/>
      <c r="O29" s="2"/>
      <c r="P29" s="2"/>
      <c r="Q29" s="2"/>
      <c r="R29" s="2"/>
      <c r="S29" s="2"/>
      <c r="T29" s="11">
        <f>COUNTIF('07_상품상세_데이터'!$A$4:$A$103,A29)</f>
        <v>0</v>
      </c>
      <c r="U29" s="11">
        <f>SUMIF('07_상품상세_데이터'!$A$4:$A$103,A29,'07_상품상세_데이터'!$F$4:$F$103)</f>
        <v>0</v>
      </c>
      <c r="V29" s="2"/>
      <c r="W29" s="10"/>
      <c r="X29" s="10"/>
      <c r="Y29" s="2"/>
      <c r="Z29" s="2"/>
    </row>
    <row r="30" spans="1:26">
      <c r="A30" s="2"/>
      <c r="B30" s="2"/>
      <c r="C30" s="2"/>
      <c r="D30" s="3"/>
      <c r="E30" s="2"/>
      <c r="F30" s="2"/>
      <c r="G30" s="2"/>
      <c r="H30" s="2"/>
      <c r="I30" s="3"/>
      <c r="J30" s="10"/>
      <c r="K30" s="2"/>
      <c r="L30" s="2"/>
      <c r="M30" s="2"/>
      <c r="N30" s="2"/>
      <c r="O30" s="2"/>
      <c r="P30" s="2"/>
      <c r="Q30" s="2"/>
      <c r="R30" s="2"/>
      <c r="S30" s="2"/>
      <c r="T30" s="11">
        <f>COUNTIF('07_상품상세_데이터'!$A$4:$A$103,A30)</f>
        <v>0</v>
      </c>
      <c r="U30" s="11">
        <f>SUMIF('07_상품상세_데이터'!$A$4:$A$103,A30,'07_상품상세_데이터'!$F$4:$F$103)</f>
        <v>0</v>
      </c>
      <c r="V30" s="2"/>
      <c r="W30" s="10"/>
      <c r="X30" s="10"/>
      <c r="Y30" s="2"/>
      <c r="Z30" s="2"/>
    </row>
    <row r="31" spans="1:26">
      <c r="A31" s="2"/>
      <c r="B31" s="2"/>
      <c r="C31" s="2"/>
      <c r="D31" s="3"/>
      <c r="E31" s="2"/>
      <c r="F31" s="2"/>
      <c r="G31" s="2"/>
      <c r="H31" s="2"/>
      <c r="I31" s="3"/>
      <c r="J31" s="10"/>
      <c r="K31" s="2"/>
      <c r="L31" s="2"/>
      <c r="M31" s="2"/>
      <c r="N31" s="2"/>
      <c r="O31" s="2"/>
      <c r="P31" s="2"/>
      <c r="Q31" s="2"/>
      <c r="R31" s="2"/>
      <c r="S31" s="2"/>
      <c r="T31" s="11">
        <f>COUNTIF('07_상품상세_데이터'!$A$4:$A$103,A31)</f>
        <v>0</v>
      </c>
      <c r="U31" s="11">
        <f>SUMIF('07_상품상세_데이터'!$A$4:$A$103,A31,'07_상품상세_데이터'!$F$4:$F$103)</f>
        <v>0</v>
      </c>
      <c r="V31" s="2"/>
      <c r="W31" s="10"/>
      <c r="X31" s="10"/>
      <c r="Y31" s="2"/>
      <c r="Z31" s="2"/>
    </row>
    <row r="32" spans="1:26">
      <c r="A32" s="2"/>
      <c r="B32" s="2"/>
      <c r="C32" s="2"/>
      <c r="D32" s="3"/>
      <c r="E32" s="2"/>
      <c r="F32" s="2"/>
      <c r="G32" s="2"/>
      <c r="H32" s="2"/>
      <c r="I32" s="3"/>
      <c r="J32" s="10"/>
      <c r="K32" s="2"/>
      <c r="L32" s="2"/>
      <c r="M32" s="2"/>
      <c r="N32" s="2"/>
      <c r="O32" s="2"/>
      <c r="P32" s="2"/>
      <c r="Q32" s="2"/>
      <c r="R32" s="2"/>
      <c r="S32" s="2"/>
      <c r="T32" s="11">
        <f>COUNTIF('07_상품상세_데이터'!$A$4:$A$103,A32)</f>
        <v>0</v>
      </c>
      <c r="U32" s="11">
        <f>SUMIF('07_상품상세_데이터'!$A$4:$A$103,A32,'07_상품상세_데이터'!$F$4:$F$103)</f>
        <v>0</v>
      </c>
      <c r="V32" s="2"/>
      <c r="W32" s="10"/>
      <c r="X32" s="10"/>
      <c r="Y32" s="2"/>
      <c r="Z32" s="2"/>
    </row>
    <row r="33" spans="1:26">
      <c r="A33" s="2"/>
      <c r="B33" s="2"/>
      <c r="C33" s="2"/>
      <c r="D33" s="3"/>
      <c r="E33" s="2"/>
      <c r="F33" s="2"/>
      <c r="G33" s="2"/>
      <c r="H33" s="2"/>
      <c r="I33" s="3"/>
      <c r="J33" s="10"/>
      <c r="K33" s="2"/>
      <c r="L33" s="2"/>
      <c r="M33" s="2"/>
      <c r="N33" s="2"/>
      <c r="O33" s="2"/>
      <c r="P33" s="2"/>
      <c r="Q33" s="2"/>
      <c r="R33" s="2"/>
      <c r="S33" s="2"/>
      <c r="T33" s="11">
        <f>COUNTIF('07_상품상세_데이터'!$A$4:$A$103,A33)</f>
        <v>0</v>
      </c>
      <c r="U33" s="11">
        <f>SUMIF('07_상품상세_데이터'!$A$4:$A$103,A33,'07_상품상세_데이터'!$F$4:$F$103)</f>
        <v>0</v>
      </c>
      <c r="V33" s="2"/>
      <c r="W33" s="10"/>
      <c r="X33" s="10"/>
      <c r="Y33" s="2"/>
      <c r="Z33" s="2"/>
    </row>
    <row r="34" spans="1:26">
      <c r="A34" s="2"/>
      <c r="B34" s="2"/>
      <c r="C34" s="2"/>
      <c r="D34" s="3"/>
      <c r="E34" s="2"/>
      <c r="F34" s="2"/>
      <c r="G34" s="2"/>
      <c r="H34" s="2"/>
      <c r="I34" s="3"/>
      <c r="J34" s="10"/>
      <c r="K34" s="2"/>
      <c r="L34" s="2"/>
      <c r="M34" s="2"/>
      <c r="N34" s="2"/>
      <c r="O34" s="2"/>
      <c r="P34" s="2"/>
      <c r="Q34" s="2"/>
      <c r="R34" s="2"/>
      <c r="S34" s="2"/>
      <c r="T34" s="11">
        <f>COUNTIF('07_상품상세_데이터'!$A$4:$A$103,A34)</f>
        <v>0</v>
      </c>
      <c r="U34" s="11">
        <f>SUMIF('07_상품상세_데이터'!$A$4:$A$103,A34,'07_상품상세_데이터'!$F$4:$F$103)</f>
        <v>0</v>
      </c>
      <c r="V34" s="2"/>
      <c r="W34" s="10"/>
      <c r="X34" s="10"/>
      <c r="Y34" s="2"/>
      <c r="Z34" s="2"/>
    </row>
    <row r="35" spans="1:26">
      <c r="A35" s="2"/>
      <c r="B35" s="2"/>
      <c r="C35" s="2"/>
      <c r="D35" s="3"/>
      <c r="E35" s="2"/>
      <c r="F35" s="2"/>
      <c r="G35" s="2"/>
      <c r="H35" s="2"/>
      <c r="I35" s="3"/>
      <c r="J35" s="10"/>
      <c r="K35" s="2"/>
      <c r="L35" s="2"/>
      <c r="M35" s="2"/>
      <c r="N35" s="2"/>
      <c r="O35" s="2"/>
      <c r="P35" s="2"/>
      <c r="Q35" s="2"/>
      <c r="R35" s="2"/>
      <c r="S35" s="2"/>
      <c r="T35" s="11">
        <f>COUNTIF('07_상품상세_데이터'!$A$4:$A$103,A35)</f>
        <v>0</v>
      </c>
      <c r="U35" s="11">
        <f>SUMIF('07_상품상세_데이터'!$A$4:$A$103,A35,'07_상품상세_데이터'!$F$4:$F$103)</f>
        <v>0</v>
      </c>
      <c r="V35" s="2"/>
      <c r="W35" s="10"/>
      <c r="X35" s="10"/>
      <c r="Y35" s="2"/>
      <c r="Z35" s="2"/>
    </row>
    <row r="36" spans="1:26">
      <c r="A36" s="2"/>
      <c r="B36" s="2"/>
      <c r="C36" s="2"/>
      <c r="D36" s="3"/>
      <c r="E36" s="2"/>
      <c r="F36" s="2"/>
      <c r="G36" s="2"/>
      <c r="H36" s="2"/>
      <c r="I36" s="3"/>
      <c r="J36" s="10"/>
      <c r="K36" s="2"/>
      <c r="L36" s="2"/>
      <c r="M36" s="2"/>
      <c r="N36" s="2"/>
      <c r="O36" s="2"/>
      <c r="P36" s="2"/>
      <c r="Q36" s="2"/>
      <c r="R36" s="2"/>
      <c r="S36" s="2"/>
      <c r="T36" s="11">
        <f>COUNTIF('07_상품상세_데이터'!$A$4:$A$103,A36)</f>
        <v>0</v>
      </c>
      <c r="U36" s="11">
        <f>SUMIF('07_상품상세_데이터'!$A$4:$A$103,A36,'07_상품상세_데이터'!$F$4:$F$103)</f>
        <v>0</v>
      </c>
      <c r="V36" s="2"/>
      <c r="W36" s="10"/>
      <c r="X36" s="10"/>
      <c r="Y36" s="2"/>
      <c r="Z36" s="2"/>
    </row>
    <row r="37" spans="1:26">
      <c r="A37" s="2"/>
      <c r="B37" s="2"/>
      <c r="C37" s="2"/>
      <c r="D37" s="3"/>
      <c r="E37" s="2"/>
      <c r="F37" s="2"/>
      <c r="G37" s="2"/>
      <c r="H37" s="2"/>
      <c r="I37" s="3"/>
      <c r="J37" s="10"/>
      <c r="K37" s="2"/>
      <c r="L37" s="2"/>
      <c r="M37" s="2"/>
      <c r="N37" s="2"/>
      <c r="O37" s="2"/>
      <c r="P37" s="2"/>
      <c r="Q37" s="2"/>
      <c r="R37" s="2"/>
      <c r="S37" s="2"/>
      <c r="T37" s="11">
        <f>COUNTIF('07_상품상세_데이터'!$A$4:$A$103,A37)</f>
        <v>0</v>
      </c>
      <c r="U37" s="11">
        <f>SUMIF('07_상품상세_데이터'!$A$4:$A$103,A37,'07_상품상세_데이터'!$F$4:$F$103)</f>
        <v>0</v>
      </c>
      <c r="V37" s="2"/>
      <c r="W37" s="10"/>
      <c r="X37" s="10"/>
      <c r="Y37" s="2"/>
      <c r="Z37" s="2"/>
    </row>
    <row r="38" spans="1:26">
      <c r="A38" s="2"/>
      <c r="B38" s="2"/>
      <c r="C38" s="2"/>
      <c r="D38" s="3"/>
      <c r="E38" s="2"/>
      <c r="F38" s="2"/>
      <c r="G38" s="2"/>
      <c r="H38" s="2"/>
      <c r="I38" s="3"/>
      <c r="J38" s="10"/>
      <c r="K38" s="2"/>
      <c r="L38" s="2"/>
      <c r="M38" s="2"/>
      <c r="N38" s="2"/>
      <c r="O38" s="2"/>
      <c r="P38" s="2"/>
      <c r="Q38" s="2"/>
      <c r="R38" s="2"/>
      <c r="S38" s="2"/>
      <c r="T38" s="11">
        <f>COUNTIF('07_상품상세_데이터'!$A$4:$A$103,A38)</f>
        <v>0</v>
      </c>
      <c r="U38" s="11">
        <f>SUMIF('07_상품상세_데이터'!$A$4:$A$103,A38,'07_상품상세_데이터'!$F$4:$F$103)</f>
        <v>0</v>
      </c>
      <c r="V38" s="2"/>
      <c r="W38" s="10"/>
      <c r="X38" s="10"/>
      <c r="Y38" s="2"/>
      <c r="Z38" s="2"/>
    </row>
    <row r="39" spans="1:26">
      <c r="A39" s="2"/>
      <c r="B39" s="2"/>
      <c r="C39" s="2"/>
      <c r="D39" s="3"/>
      <c r="E39" s="2"/>
      <c r="F39" s="2"/>
      <c r="G39" s="2"/>
      <c r="H39" s="2"/>
      <c r="I39" s="3"/>
      <c r="J39" s="10"/>
      <c r="K39" s="2"/>
      <c r="L39" s="2"/>
      <c r="M39" s="2"/>
      <c r="N39" s="2"/>
      <c r="O39" s="2"/>
      <c r="P39" s="2"/>
      <c r="Q39" s="2"/>
      <c r="R39" s="2"/>
      <c r="S39" s="2"/>
      <c r="T39" s="11">
        <f>COUNTIF('07_상품상세_데이터'!$A$4:$A$103,A39)</f>
        <v>0</v>
      </c>
      <c r="U39" s="11">
        <f>SUMIF('07_상품상세_데이터'!$A$4:$A$103,A39,'07_상품상세_데이터'!$F$4:$F$103)</f>
        <v>0</v>
      </c>
      <c r="V39" s="2"/>
      <c r="W39" s="10"/>
      <c r="X39" s="10"/>
      <c r="Y39" s="2"/>
      <c r="Z39" s="2"/>
    </row>
    <row r="40" spans="1:26">
      <c r="A40" s="2"/>
      <c r="B40" s="2"/>
      <c r="C40" s="2"/>
      <c r="D40" s="3"/>
      <c r="E40" s="2"/>
      <c r="F40" s="2"/>
      <c r="G40" s="2"/>
      <c r="H40" s="2"/>
      <c r="I40" s="3"/>
      <c r="J40" s="10"/>
      <c r="K40" s="2"/>
      <c r="L40" s="2"/>
      <c r="M40" s="2"/>
      <c r="N40" s="2"/>
      <c r="O40" s="2"/>
      <c r="P40" s="2"/>
      <c r="Q40" s="2"/>
      <c r="R40" s="2"/>
      <c r="S40" s="2"/>
      <c r="T40" s="11">
        <f>COUNTIF('07_상품상세_데이터'!$A$4:$A$103,A40)</f>
        <v>0</v>
      </c>
      <c r="U40" s="11">
        <f>SUMIF('07_상품상세_데이터'!$A$4:$A$103,A40,'07_상품상세_데이터'!$F$4:$F$103)</f>
        <v>0</v>
      </c>
      <c r="V40" s="2"/>
      <c r="W40" s="10"/>
      <c r="X40" s="10"/>
      <c r="Y40" s="2"/>
      <c r="Z40" s="2"/>
    </row>
    <row r="41" spans="1:26">
      <c r="A41" s="2"/>
      <c r="B41" s="2"/>
      <c r="C41" s="2"/>
      <c r="D41" s="3"/>
      <c r="E41" s="2"/>
      <c r="F41" s="2"/>
      <c r="G41" s="2"/>
      <c r="H41" s="2"/>
      <c r="I41" s="3"/>
      <c r="J41" s="10"/>
      <c r="K41" s="2"/>
      <c r="L41" s="2"/>
      <c r="M41" s="2"/>
      <c r="N41" s="2"/>
      <c r="O41" s="2"/>
      <c r="P41" s="2"/>
      <c r="Q41" s="2"/>
      <c r="R41" s="2"/>
      <c r="S41" s="2"/>
      <c r="T41" s="11">
        <f>COUNTIF('07_상품상세_데이터'!$A$4:$A$103,A41)</f>
        <v>0</v>
      </c>
      <c r="U41" s="11">
        <f>SUMIF('07_상품상세_데이터'!$A$4:$A$103,A41,'07_상품상세_데이터'!$F$4:$F$103)</f>
        <v>0</v>
      </c>
      <c r="V41" s="2"/>
      <c r="W41" s="10"/>
      <c r="X41" s="10"/>
      <c r="Y41" s="2"/>
      <c r="Z41" s="2"/>
    </row>
    <row r="42" spans="1:26">
      <c r="A42" s="2"/>
      <c r="B42" s="2"/>
      <c r="C42" s="2"/>
      <c r="D42" s="3"/>
      <c r="E42" s="2"/>
      <c r="F42" s="2"/>
      <c r="G42" s="2"/>
      <c r="H42" s="2"/>
      <c r="I42" s="3"/>
      <c r="J42" s="10"/>
      <c r="K42" s="2"/>
      <c r="L42" s="2"/>
      <c r="M42" s="2"/>
      <c r="N42" s="2"/>
      <c r="O42" s="2"/>
      <c r="P42" s="2"/>
      <c r="Q42" s="2"/>
      <c r="R42" s="2"/>
      <c r="S42" s="2"/>
      <c r="T42" s="11">
        <f>COUNTIF('07_상품상세_데이터'!$A$4:$A$103,A42)</f>
        <v>0</v>
      </c>
      <c r="U42" s="11">
        <f>SUMIF('07_상품상세_데이터'!$A$4:$A$103,A42,'07_상품상세_데이터'!$F$4:$F$103)</f>
        <v>0</v>
      </c>
      <c r="V42" s="2"/>
      <c r="W42" s="10"/>
      <c r="X42" s="10"/>
      <c r="Y42" s="2"/>
      <c r="Z42" s="2"/>
    </row>
    <row r="43" spans="1:26">
      <c r="A43" s="2"/>
      <c r="B43" s="2"/>
      <c r="C43" s="2"/>
      <c r="D43" s="3"/>
      <c r="E43" s="2"/>
      <c r="F43" s="2"/>
      <c r="G43" s="2"/>
      <c r="H43" s="2"/>
      <c r="I43" s="3"/>
      <c r="J43" s="10"/>
      <c r="K43" s="2"/>
      <c r="L43" s="2"/>
      <c r="M43" s="2"/>
      <c r="N43" s="2"/>
      <c r="O43" s="2"/>
      <c r="P43" s="2"/>
      <c r="Q43" s="2"/>
      <c r="R43" s="2"/>
      <c r="S43" s="2"/>
      <c r="T43" s="11">
        <f>COUNTIF('07_상품상세_데이터'!$A$4:$A$103,A43)</f>
        <v>0</v>
      </c>
      <c r="U43" s="11">
        <f>SUMIF('07_상품상세_데이터'!$A$4:$A$103,A43,'07_상품상세_데이터'!$F$4:$F$103)</f>
        <v>0</v>
      </c>
      <c r="V43" s="2"/>
      <c r="W43" s="10"/>
      <c r="X43" s="10"/>
      <c r="Y43" s="2"/>
      <c r="Z43" s="2"/>
    </row>
    <row r="44" spans="1:26">
      <c r="A44" s="2"/>
      <c r="B44" s="2"/>
      <c r="C44" s="2"/>
      <c r="D44" s="3"/>
      <c r="E44" s="2"/>
      <c r="F44" s="2"/>
      <c r="G44" s="2"/>
      <c r="H44" s="2"/>
      <c r="I44" s="3"/>
      <c r="J44" s="10"/>
      <c r="K44" s="2"/>
      <c r="L44" s="2"/>
      <c r="M44" s="2"/>
      <c r="N44" s="2"/>
      <c r="O44" s="2"/>
      <c r="P44" s="2"/>
      <c r="Q44" s="2"/>
      <c r="R44" s="2"/>
      <c r="S44" s="2"/>
      <c r="T44" s="11">
        <f>COUNTIF('07_상품상세_데이터'!$A$4:$A$103,A44)</f>
        <v>0</v>
      </c>
      <c r="U44" s="11">
        <f>SUMIF('07_상품상세_데이터'!$A$4:$A$103,A44,'07_상품상세_데이터'!$F$4:$F$103)</f>
        <v>0</v>
      </c>
      <c r="V44" s="2"/>
      <c r="W44" s="10"/>
      <c r="X44" s="10"/>
      <c r="Y44" s="2"/>
      <c r="Z44" s="2"/>
    </row>
    <row r="45" spans="1:26">
      <c r="A45" s="2"/>
      <c r="B45" s="2"/>
      <c r="C45" s="2"/>
      <c r="D45" s="3"/>
      <c r="E45" s="2"/>
      <c r="F45" s="2"/>
      <c r="G45" s="2"/>
      <c r="H45" s="2"/>
      <c r="I45" s="3"/>
      <c r="J45" s="10"/>
      <c r="K45" s="2"/>
      <c r="L45" s="2"/>
      <c r="M45" s="2"/>
      <c r="N45" s="2"/>
      <c r="O45" s="2"/>
      <c r="P45" s="2"/>
      <c r="Q45" s="2"/>
      <c r="R45" s="2"/>
      <c r="S45" s="2"/>
      <c r="T45" s="11">
        <f>COUNTIF('07_상품상세_데이터'!$A$4:$A$103,A45)</f>
        <v>0</v>
      </c>
      <c r="U45" s="11">
        <f>SUMIF('07_상품상세_데이터'!$A$4:$A$103,A45,'07_상품상세_데이터'!$F$4:$F$103)</f>
        <v>0</v>
      </c>
      <c r="V45" s="2"/>
      <c r="W45" s="10"/>
      <c r="X45" s="10"/>
      <c r="Y45" s="2"/>
      <c r="Z45" s="2"/>
    </row>
    <row r="46" spans="1:26">
      <c r="A46" s="2"/>
      <c r="B46" s="2"/>
      <c r="C46" s="2"/>
      <c r="D46" s="3"/>
      <c r="E46" s="2"/>
      <c r="F46" s="2"/>
      <c r="G46" s="2"/>
      <c r="H46" s="2"/>
      <c r="I46" s="3"/>
      <c r="J46" s="10"/>
      <c r="K46" s="2"/>
      <c r="L46" s="2"/>
      <c r="M46" s="2"/>
      <c r="N46" s="2"/>
      <c r="O46" s="2"/>
      <c r="P46" s="2"/>
      <c r="Q46" s="2"/>
      <c r="R46" s="2"/>
      <c r="S46" s="2"/>
      <c r="T46" s="11">
        <f>COUNTIF('07_상품상세_데이터'!$A$4:$A$103,A46)</f>
        <v>0</v>
      </c>
      <c r="U46" s="11">
        <f>SUMIF('07_상품상세_데이터'!$A$4:$A$103,A46,'07_상품상세_데이터'!$F$4:$F$103)</f>
        <v>0</v>
      </c>
      <c r="V46" s="2"/>
      <c r="W46" s="10"/>
      <c r="X46" s="10"/>
      <c r="Y46" s="2"/>
      <c r="Z46" s="2"/>
    </row>
    <row r="47" spans="1:26">
      <c r="A47" s="2"/>
      <c r="B47" s="2"/>
      <c r="C47" s="2"/>
      <c r="D47" s="3"/>
      <c r="E47" s="2"/>
      <c r="F47" s="2"/>
      <c r="G47" s="2"/>
      <c r="H47" s="2"/>
      <c r="I47" s="3"/>
      <c r="J47" s="10"/>
      <c r="K47" s="2"/>
      <c r="L47" s="2"/>
      <c r="M47" s="2"/>
      <c r="N47" s="2"/>
      <c r="O47" s="2"/>
      <c r="P47" s="2"/>
      <c r="Q47" s="2"/>
      <c r="R47" s="2"/>
      <c r="S47" s="2"/>
      <c r="T47" s="11">
        <f>COUNTIF('07_상품상세_데이터'!$A$4:$A$103,A47)</f>
        <v>0</v>
      </c>
      <c r="U47" s="11">
        <f>SUMIF('07_상품상세_데이터'!$A$4:$A$103,A47,'07_상품상세_데이터'!$F$4:$F$103)</f>
        <v>0</v>
      </c>
      <c r="V47" s="2"/>
      <c r="W47" s="10"/>
      <c r="X47" s="10"/>
      <c r="Y47" s="2"/>
      <c r="Z47" s="2"/>
    </row>
    <row r="48" spans="1:26">
      <c r="A48" s="2"/>
      <c r="B48" s="2"/>
      <c r="C48" s="2"/>
      <c r="D48" s="3"/>
      <c r="E48" s="2"/>
      <c r="F48" s="2"/>
      <c r="G48" s="2"/>
      <c r="H48" s="2"/>
      <c r="I48" s="3"/>
      <c r="J48" s="10"/>
      <c r="K48" s="2"/>
      <c r="L48" s="2"/>
      <c r="M48" s="2"/>
      <c r="N48" s="2"/>
      <c r="O48" s="2"/>
      <c r="P48" s="2"/>
      <c r="Q48" s="2"/>
      <c r="R48" s="2"/>
      <c r="S48" s="2"/>
      <c r="T48" s="11">
        <f>COUNTIF('07_상품상세_데이터'!$A$4:$A$103,A48)</f>
        <v>0</v>
      </c>
      <c r="U48" s="11">
        <f>SUMIF('07_상품상세_데이터'!$A$4:$A$103,A48,'07_상품상세_데이터'!$F$4:$F$103)</f>
        <v>0</v>
      </c>
      <c r="V48" s="2"/>
      <c r="W48" s="10"/>
      <c r="X48" s="10"/>
      <c r="Y48" s="2"/>
      <c r="Z48" s="2"/>
    </row>
    <row r="49" spans="1:26">
      <c r="A49" s="2"/>
      <c r="B49" s="2"/>
      <c r="C49" s="2"/>
      <c r="D49" s="3"/>
      <c r="E49" s="2"/>
      <c r="F49" s="2"/>
      <c r="G49" s="2"/>
      <c r="H49" s="2"/>
      <c r="I49" s="3"/>
      <c r="J49" s="10"/>
      <c r="K49" s="2"/>
      <c r="L49" s="2"/>
      <c r="M49" s="2"/>
      <c r="N49" s="2"/>
      <c r="O49" s="2"/>
      <c r="P49" s="2"/>
      <c r="Q49" s="2"/>
      <c r="R49" s="2"/>
      <c r="S49" s="2"/>
      <c r="T49" s="11">
        <f>COUNTIF('07_상품상세_데이터'!$A$4:$A$103,A49)</f>
        <v>0</v>
      </c>
      <c r="U49" s="11">
        <f>SUMIF('07_상품상세_데이터'!$A$4:$A$103,A49,'07_상품상세_데이터'!$F$4:$F$103)</f>
        <v>0</v>
      </c>
      <c r="V49" s="2"/>
      <c r="W49" s="10"/>
      <c r="X49" s="10"/>
      <c r="Y49" s="2"/>
      <c r="Z49" s="2"/>
    </row>
    <row r="50" spans="1:26">
      <c r="A50" s="2"/>
      <c r="B50" s="2"/>
      <c r="C50" s="2"/>
      <c r="D50" s="3"/>
      <c r="E50" s="2"/>
      <c r="F50" s="2"/>
      <c r="G50" s="2"/>
      <c r="H50" s="2"/>
      <c r="I50" s="3"/>
      <c r="J50" s="10"/>
      <c r="K50" s="2"/>
      <c r="L50" s="2"/>
      <c r="M50" s="2"/>
      <c r="N50" s="2"/>
      <c r="O50" s="2"/>
      <c r="P50" s="2"/>
      <c r="Q50" s="2"/>
      <c r="R50" s="2"/>
      <c r="S50" s="2"/>
      <c r="T50" s="11">
        <f>COUNTIF('07_상품상세_데이터'!$A$4:$A$103,A50)</f>
        <v>0</v>
      </c>
      <c r="U50" s="11">
        <f>SUMIF('07_상품상세_데이터'!$A$4:$A$103,A50,'07_상품상세_데이터'!$F$4:$F$103)</f>
        <v>0</v>
      </c>
      <c r="V50" s="2"/>
      <c r="W50" s="10"/>
      <c r="X50" s="10"/>
      <c r="Y50" s="2"/>
      <c r="Z50" s="2"/>
    </row>
    <row r="51" spans="1:26">
      <c r="A51" s="2"/>
      <c r="B51" s="2"/>
      <c r="C51" s="2"/>
      <c r="D51" s="3"/>
      <c r="E51" s="2"/>
      <c r="F51" s="2"/>
      <c r="G51" s="2"/>
      <c r="H51" s="2"/>
      <c r="I51" s="3"/>
      <c r="J51" s="10"/>
      <c r="K51" s="2"/>
      <c r="L51" s="2"/>
      <c r="M51" s="2"/>
      <c r="N51" s="2"/>
      <c r="O51" s="2"/>
      <c r="P51" s="2"/>
      <c r="Q51" s="2"/>
      <c r="R51" s="2"/>
      <c r="S51" s="2"/>
      <c r="T51" s="11">
        <f>COUNTIF('07_상품상세_데이터'!$A$4:$A$103,A51)</f>
        <v>0</v>
      </c>
      <c r="U51" s="11">
        <f>SUMIF('07_상품상세_데이터'!$A$4:$A$103,A51,'07_상품상세_데이터'!$F$4:$F$103)</f>
        <v>0</v>
      </c>
      <c r="V51" s="2"/>
      <c r="W51" s="10"/>
      <c r="X51" s="10"/>
      <c r="Y51" s="2"/>
      <c r="Z51" s="2"/>
    </row>
    <row r="52" spans="1:26">
      <c r="A52" s="2"/>
      <c r="B52" s="2"/>
      <c r="C52" s="2"/>
      <c r="D52" s="3"/>
      <c r="E52" s="2"/>
      <c r="F52" s="2"/>
      <c r="G52" s="2"/>
      <c r="H52" s="2"/>
      <c r="I52" s="3"/>
      <c r="J52" s="10"/>
      <c r="K52" s="2"/>
      <c r="L52" s="2"/>
      <c r="M52" s="2"/>
      <c r="N52" s="2"/>
      <c r="O52" s="2"/>
      <c r="P52" s="2"/>
      <c r="Q52" s="2"/>
      <c r="R52" s="2"/>
      <c r="S52" s="2"/>
      <c r="T52" s="11">
        <f>COUNTIF('07_상품상세_데이터'!$A$4:$A$103,A52)</f>
        <v>0</v>
      </c>
      <c r="U52" s="11">
        <f>SUMIF('07_상품상세_데이터'!$A$4:$A$103,A52,'07_상품상세_데이터'!$F$4:$F$103)</f>
        <v>0</v>
      </c>
      <c r="V52" s="2"/>
      <c r="W52" s="10"/>
      <c r="X52" s="10"/>
      <c r="Y52" s="2"/>
      <c r="Z52" s="2"/>
    </row>
    <row r="53" spans="1:26">
      <c r="A53" s="2"/>
      <c r="B53" s="2"/>
      <c r="C53" s="2"/>
      <c r="D53" s="3"/>
      <c r="E53" s="2"/>
      <c r="F53" s="2"/>
      <c r="G53" s="2"/>
      <c r="H53" s="2"/>
      <c r="I53" s="3"/>
      <c r="J53" s="10"/>
      <c r="K53" s="2"/>
      <c r="L53" s="2"/>
      <c r="M53" s="2"/>
      <c r="N53" s="2"/>
      <c r="O53" s="2"/>
      <c r="P53" s="2"/>
      <c r="Q53" s="2"/>
      <c r="R53" s="2"/>
      <c r="S53" s="2"/>
      <c r="T53" s="11">
        <f>COUNTIF('07_상품상세_데이터'!$A$4:$A$103,A53)</f>
        <v>0</v>
      </c>
      <c r="U53" s="11">
        <f>SUMIF('07_상품상세_데이터'!$A$4:$A$103,A53,'07_상품상세_데이터'!$F$4:$F$103)</f>
        <v>0</v>
      </c>
      <c r="V53" s="2"/>
      <c r="W53" s="10"/>
      <c r="X53" s="10"/>
      <c r="Y53" s="2"/>
      <c r="Z53" s="2"/>
    </row>
    <row r="54" spans="1:26">
      <c r="A54" s="2"/>
      <c r="B54" s="2"/>
      <c r="C54" s="2"/>
      <c r="D54" s="3"/>
      <c r="E54" s="2"/>
      <c r="F54" s="2"/>
      <c r="G54" s="2"/>
      <c r="H54" s="2"/>
      <c r="I54" s="3"/>
      <c r="J54" s="10"/>
      <c r="K54" s="2"/>
      <c r="L54" s="2"/>
      <c r="M54" s="2"/>
      <c r="N54" s="2"/>
      <c r="O54" s="2"/>
      <c r="P54" s="2"/>
      <c r="Q54" s="2"/>
      <c r="R54" s="2"/>
      <c r="S54" s="2"/>
      <c r="T54" s="11">
        <f>COUNTIF('07_상품상세_데이터'!$A$4:$A$103,A54)</f>
        <v>0</v>
      </c>
      <c r="U54" s="11">
        <f>SUMIF('07_상품상세_데이터'!$A$4:$A$103,A54,'07_상품상세_데이터'!$F$4:$F$103)</f>
        <v>0</v>
      </c>
      <c r="V54" s="2"/>
      <c r="W54" s="10"/>
      <c r="X54" s="10"/>
      <c r="Y54" s="2"/>
      <c r="Z54" s="2"/>
    </row>
    <row r="55" spans="1:26">
      <c r="A55" s="2"/>
      <c r="B55" s="2"/>
      <c r="C55" s="2"/>
      <c r="D55" s="3"/>
      <c r="E55" s="2"/>
      <c r="F55" s="2"/>
      <c r="G55" s="2"/>
      <c r="H55" s="2"/>
      <c r="I55" s="3"/>
      <c r="J55" s="10"/>
      <c r="K55" s="2"/>
      <c r="L55" s="2"/>
      <c r="M55" s="2"/>
      <c r="N55" s="2"/>
      <c r="O55" s="2"/>
      <c r="P55" s="2"/>
      <c r="Q55" s="2"/>
      <c r="R55" s="2"/>
      <c r="S55" s="2"/>
      <c r="T55" s="11">
        <f>COUNTIF('07_상품상세_데이터'!$A$4:$A$103,A55)</f>
        <v>0</v>
      </c>
      <c r="U55" s="11">
        <f>SUMIF('07_상품상세_데이터'!$A$4:$A$103,A55,'07_상품상세_데이터'!$F$4:$F$103)</f>
        <v>0</v>
      </c>
      <c r="V55" s="2"/>
      <c r="W55" s="10"/>
      <c r="X55" s="10"/>
      <c r="Y55" s="2"/>
      <c r="Z55" s="2"/>
    </row>
    <row r="56" spans="1:26">
      <c r="A56" s="2"/>
      <c r="B56" s="2"/>
      <c r="C56" s="2"/>
      <c r="D56" s="3"/>
      <c r="E56" s="2"/>
      <c r="F56" s="2"/>
      <c r="G56" s="2"/>
      <c r="H56" s="2"/>
      <c r="I56" s="3"/>
      <c r="J56" s="10"/>
      <c r="K56" s="2"/>
      <c r="L56" s="2"/>
      <c r="M56" s="2"/>
      <c r="N56" s="2"/>
      <c r="O56" s="2"/>
      <c r="P56" s="2"/>
      <c r="Q56" s="2"/>
      <c r="R56" s="2"/>
      <c r="S56" s="2"/>
      <c r="T56" s="11">
        <f>COUNTIF('07_상품상세_데이터'!$A$4:$A$103,A56)</f>
        <v>0</v>
      </c>
      <c r="U56" s="11">
        <f>SUMIF('07_상품상세_데이터'!$A$4:$A$103,A56,'07_상품상세_데이터'!$F$4:$F$103)</f>
        <v>0</v>
      </c>
      <c r="V56" s="2"/>
      <c r="W56" s="10"/>
      <c r="X56" s="10"/>
      <c r="Y56" s="2"/>
      <c r="Z56" s="2"/>
    </row>
    <row r="57" spans="1:26">
      <c r="A57" s="2"/>
      <c r="B57" s="2"/>
      <c r="C57" s="2"/>
      <c r="D57" s="3"/>
      <c r="E57" s="2"/>
      <c r="F57" s="2"/>
      <c r="G57" s="2"/>
      <c r="H57" s="2"/>
      <c r="I57" s="3"/>
      <c r="J57" s="10"/>
      <c r="K57" s="2"/>
      <c r="L57" s="2"/>
      <c r="M57" s="2"/>
      <c r="N57" s="2"/>
      <c r="O57" s="2"/>
      <c r="P57" s="2"/>
      <c r="Q57" s="2"/>
      <c r="R57" s="2"/>
      <c r="S57" s="2"/>
      <c r="T57" s="11">
        <f>COUNTIF('07_상품상세_데이터'!$A$4:$A$103,A57)</f>
        <v>0</v>
      </c>
      <c r="U57" s="11">
        <f>SUMIF('07_상품상세_데이터'!$A$4:$A$103,A57,'07_상품상세_데이터'!$F$4:$F$103)</f>
        <v>0</v>
      </c>
      <c r="V57" s="2"/>
      <c r="W57" s="10"/>
      <c r="X57" s="10"/>
      <c r="Y57" s="2"/>
      <c r="Z57" s="2"/>
    </row>
    <row r="58" spans="1:26">
      <c r="A58" s="2"/>
      <c r="B58" s="2"/>
      <c r="C58" s="2"/>
      <c r="D58" s="3"/>
      <c r="E58" s="2"/>
      <c r="F58" s="2"/>
      <c r="G58" s="2"/>
      <c r="H58" s="2"/>
      <c r="I58" s="3"/>
      <c r="J58" s="10"/>
      <c r="K58" s="2"/>
      <c r="L58" s="2"/>
      <c r="M58" s="2"/>
      <c r="N58" s="2"/>
      <c r="O58" s="2"/>
      <c r="P58" s="2"/>
      <c r="Q58" s="2"/>
      <c r="R58" s="2"/>
      <c r="S58" s="2"/>
      <c r="T58" s="11">
        <f>COUNTIF('07_상품상세_데이터'!$A$4:$A$103,A58)</f>
        <v>0</v>
      </c>
      <c r="U58" s="11">
        <f>SUMIF('07_상품상세_데이터'!$A$4:$A$103,A58,'07_상품상세_데이터'!$F$4:$F$103)</f>
        <v>0</v>
      </c>
      <c r="V58" s="2"/>
      <c r="W58" s="10"/>
      <c r="X58" s="10"/>
      <c r="Y58" s="2"/>
      <c r="Z58" s="2"/>
    </row>
    <row r="59" spans="1:26">
      <c r="A59" s="2"/>
      <c r="B59" s="2"/>
      <c r="C59" s="2"/>
      <c r="D59" s="3"/>
      <c r="E59" s="2"/>
      <c r="F59" s="2"/>
      <c r="G59" s="2"/>
      <c r="H59" s="2"/>
      <c r="I59" s="3"/>
      <c r="J59" s="10"/>
      <c r="K59" s="2"/>
      <c r="L59" s="2"/>
      <c r="M59" s="2"/>
      <c r="N59" s="2"/>
      <c r="O59" s="2"/>
      <c r="P59" s="2"/>
      <c r="Q59" s="2"/>
      <c r="R59" s="2"/>
      <c r="S59" s="2"/>
      <c r="T59" s="11">
        <f>COUNTIF('07_상품상세_데이터'!$A$4:$A$103,A59)</f>
        <v>0</v>
      </c>
      <c r="U59" s="11">
        <f>SUMIF('07_상품상세_데이터'!$A$4:$A$103,A59,'07_상품상세_데이터'!$F$4:$F$103)</f>
        <v>0</v>
      </c>
      <c r="V59" s="2"/>
      <c r="W59" s="10"/>
      <c r="X59" s="10"/>
      <c r="Y59" s="2"/>
      <c r="Z59" s="2"/>
    </row>
    <row r="60" spans="1:26">
      <c r="A60" s="2"/>
      <c r="B60" s="2"/>
      <c r="C60" s="2"/>
      <c r="D60" s="3"/>
      <c r="E60" s="2"/>
      <c r="F60" s="2"/>
      <c r="G60" s="2"/>
      <c r="H60" s="2"/>
      <c r="I60" s="3"/>
      <c r="J60" s="10"/>
      <c r="K60" s="2"/>
      <c r="L60" s="2"/>
      <c r="M60" s="2"/>
      <c r="N60" s="2"/>
      <c r="O60" s="2"/>
      <c r="P60" s="2"/>
      <c r="Q60" s="2"/>
      <c r="R60" s="2"/>
      <c r="S60" s="2"/>
      <c r="T60" s="11">
        <f>COUNTIF('07_상품상세_데이터'!$A$4:$A$103,A60)</f>
        <v>0</v>
      </c>
      <c r="U60" s="11">
        <f>SUMIF('07_상품상세_데이터'!$A$4:$A$103,A60,'07_상품상세_데이터'!$F$4:$F$103)</f>
        <v>0</v>
      </c>
      <c r="V60" s="2"/>
      <c r="W60" s="10"/>
      <c r="X60" s="10"/>
      <c r="Y60" s="2"/>
      <c r="Z60" s="2"/>
    </row>
    <row r="61" spans="1:26">
      <c r="A61" s="2"/>
      <c r="B61" s="2"/>
      <c r="C61" s="2"/>
      <c r="D61" s="3"/>
      <c r="E61" s="2"/>
      <c r="F61" s="2"/>
      <c r="G61" s="2"/>
      <c r="H61" s="2"/>
      <c r="I61" s="3"/>
      <c r="J61" s="10"/>
      <c r="K61" s="2"/>
      <c r="L61" s="2"/>
      <c r="M61" s="2"/>
      <c r="N61" s="2"/>
      <c r="O61" s="2"/>
      <c r="P61" s="2"/>
      <c r="Q61" s="2"/>
      <c r="R61" s="2"/>
      <c r="S61" s="2"/>
      <c r="T61" s="11">
        <f>COUNTIF('07_상품상세_데이터'!$A$4:$A$103,A61)</f>
        <v>0</v>
      </c>
      <c r="U61" s="11">
        <f>SUMIF('07_상품상세_데이터'!$A$4:$A$103,A61,'07_상품상세_데이터'!$F$4:$F$103)</f>
        <v>0</v>
      </c>
      <c r="V61" s="2"/>
      <c r="W61" s="10"/>
      <c r="X61" s="10"/>
      <c r="Y61" s="2"/>
      <c r="Z61" s="2"/>
    </row>
    <row r="62" spans="1:26">
      <c r="A62" s="2"/>
      <c r="B62" s="2"/>
      <c r="C62" s="2"/>
      <c r="D62" s="3"/>
      <c r="E62" s="2"/>
      <c r="F62" s="2"/>
      <c r="G62" s="2"/>
      <c r="H62" s="2"/>
      <c r="I62" s="3"/>
      <c r="J62" s="10"/>
      <c r="K62" s="2"/>
      <c r="L62" s="2"/>
      <c r="M62" s="2"/>
      <c r="N62" s="2"/>
      <c r="O62" s="2"/>
      <c r="P62" s="2"/>
      <c r="Q62" s="2"/>
      <c r="R62" s="2"/>
      <c r="S62" s="2"/>
      <c r="T62" s="11">
        <f>COUNTIF('07_상품상세_데이터'!$A$4:$A$103,A62)</f>
        <v>0</v>
      </c>
      <c r="U62" s="11">
        <f>SUMIF('07_상품상세_데이터'!$A$4:$A$103,A62,'07_상품상세_데이터'!$F$4:$F$103)</f>
        <v>0</v>
      </c>
      <c r="V62" s="2"/>
      <c r="W62" s="10"/>
      <c r="X62" s="10"/>
      <c r="Y62" s="2"/>
      <c r="Z62" s="2"/>
    </row>
    <row r="63" spans="1:26">
      <c r="A63" s="2"/>
      <c r="B63" s="2"/>
      <c r="C63" s="2"/>
      <c r="D63" s="3"/>
      <c r="E63" s="2"/>
      <c r="F63" s="2"/>
      <c r="G63" s="2"/>
      <c r="H63" s="2"/>
      <c r="I63" s="3"/>
      <c r="J63" s="10"/>
      <c r="K63" s="2"/>
      <c r="L63" s="2"/>
      <c r="M63" s="2"/>
      <c r="N63" s="2"/>
      <c r="O63" s="2"/>
      <c r="P63" s="2"/>
      <c r="Q63" s="2"/>
      <c r="R63" s="2"/>
      <c r="S63" s="2"/>
      <c r="T63" s="11">
        <f>COUNTIF('07_상품상세_데이터'!$A$4:$A$103,A63)</f>
        <v>0</v>
      </c>
      <c r="U63" s="11">
        <f>SUMIF('07_상품상세_데이터'!$A$4:$A$103,A63,'07_상품상세_데이터'!$F$4:$F$103)</f>
        <v>0</v>
      </c>
      <c r="V63" s="2"/>
      <c r="W63" s="10"/>
      <c r="X63" s="10"/>
      <c r="Y63" s="2"/>
      <c r="Z63" s="2"/>
    </row>
    <row r="64" spans="1:26">
      <c r="A64" s="2"/>
      <c r="B64" s="2"/>
      <c r="C64" s="2"/>
      <c r="D64" s="3"/>
      <c r="E64" s="2"/>
      <c r="F64" s="2"/>
      <c r="G64" s="2"/>
      <c r="H64" s="2"/>
      <c r="I64" s="3"/>
      <c r="J64" s="10"/>
      <c r="K64" s="2"/>
      <c r="L64" s="2"/>
      <c r="M64" s="2"/>
      <c r="N64" s="2"/>
      <c r="O64" s="2"/>
      <c r="P64" s="2"/>
      <c r="Q64" s="2"/>
      <c r="R64" s="2"/>
      <c r="S64" s="2"/>
      <c r="T64" s="11">
        <f>COUNTIF('07_상품상세_데이터'!$A$4:$A$103,A64)</f>
        <v>0</v>
      </c>
      <c r="U64" s="11">
        <f>SUMIF('07_상품상세_데이터'!$A$4:$A$103,A64,'07_상품상세_데이터'!$F$4:$F$103)</f>
        <v>0</v>
      </c>
      <c r="V64" s="2"/>
      <c r="W64" s="10"/>
      <c r="X64" s="10"/>
      <c r="Y64" s="2"/>
      <c r="Z64" s="2"/>
    </row>
    <row r="65" spans="1:26">
      <c r="A65" s="2"/>
      <c r="B65" s="2"/>
      <c r="C65" s="2"/>
      <c r="D65" s="3"/>
      <c r="E65" s="2"/>
      <c r="F65" s="2"/>
      <c r="G65" s="2"/>
      <c r="H65" s="2"/>
      <c r="I65" s="3"/>
      <c r="J65" s="10"/>
      <c r="K65" s="2"/>
      <c r="L65" s="2"/>
      <c r="M65" s="2"/>
      <c r="N65" s="2"/>
      <c r="O65" s="2"/>
      <c r="P65" s="2"/>
      <c r="Q65" s="2"/>
      <c r="R65" s="2"/>
      <c r="S65" s="2"/>
      <c r="T65" s="11">
        <f>COUNTIF('07_상품상세_데이터'!$A$4:$A$103,A65)</f>
        <v>0</v>
      </c>
      <c r="U65" s="11">
        <f>SUMIF('07_상품상세_데이터'!$A$4:$A$103,A65,'07_상품상세_데이터'!$F$4:$F$103)</f>
        <v>0</v>
      </c>
      <c r="V65" s="2"/>
      <c r="W65" s="10"/>
      <c r="X65" s="10"/>
      <c r="Y65" s="2"/>
      <c r="Z65" s="2"/>
    </row>
    <row r="66" spans="1:26">
      <c r="A66" s="2"/>
      <c r="B66" s="2"/>
      <c r="C66" s="2"/>
      <c r="D66" s="3"/>
      <c r="E66" s="2"/>
      <c r="F66" s="2"/>
      <c r="G66" s="2"/>
      <c r="H66" s="2"/>
      <c r="I66" s="3"/>
      <c r="J66" s="10"/>
      <c r="K66" s="2"/>
      <c r="L66" s="2"/>
      <c r="M66" s="2"/>
      <c r="N66" s="2"/>
      <c r="O66" s="2"/>
      <c r="P66" s="2"/>
      <c r="Q66" s="2"/>
      <c r="R66" s="2"/>
      <c r="S66" s="2"/>
      <c r="T66" s="11">
        <f>COUNTIF('07_상품상세_데이터'!$A$4:$A$103,A66)</f>
        <v>0</v>
      </c>
      <c r="U66" s="11">
        <f>SUMIF('07_상품상세_데이터'!$A$4:$A$103,A66,'07_상품상세_데이터'!$F$4:$F$103)</f>
        <v>0</v>
      </c>
      <c r="V66" s="2"/>
      <c r="W66" s="10"/>
      <c r="X66" s="10"/>
      <c r="Y66" s="2"/>
      <c r="Z66" s="2"/>
    </row>
    <row r="67" spans="1:26">
      <c r="A67" s="2"/>
      <c r="B67" s="2"/>
      <c r="C67" s="2"/>
      <c r="D67" s="3"/>
      <c r="E67" s="2"/>
      <c r="F67" s="2"/>
      <c r="G67" s="2"/>
      <c r="H67" s="2"/>
      <c r="I67" s="3"/>
      <c r="J67" s="10"/>
      <c r="K67" s="2"/>
      <c r="L67" s="2"/>
      <c r="M67" s="2"/>
      <c r="N67" s="2"/>
      <c r="O67" s="2"/>
      <c r="P67" s="2"/>
      <c r="Q67" s="2"/>
      <c r="R67" s="2"/>
      <c r="S67" s="2"/>
      <c r="T67" s="11">
        <f>COUNTIF('07_상품상세_데이터'!$A$4:$A$103,A67)</f>
        <v>0</v>
      </c>
      <c r="U67" s="11">
        <f>SUMIF('07_상품상세_데이터'!$A$4:$A$103,A67,'07_상품상세_데이터'!$F$4:$F$103)</f>
        <v>0</v>
      </c>
      <c r="V67" s="2"/>
      <c r="W67" s="10"/>
      <c r="X67" s="10"/>
      <c r="Y67" s="2"/>
      <c r="Z67" s="2"/>
    </row>
    <row r="68" spans="1:26">
      <c r="A68" s="2"/>
      <c r="B68" s="2"/>
      <c r="C68" s="2"/>
      <c r="D68" s="3"/>
      <c r="E68" s="2"/>
      <c r="F68" s="2"/>
      <c r="G68" s="2"/>
      <c r="H68" s="2"/>
      <c r="I68" s="3"/>
      <c r="J68" s="10"/>
      <c r="K68" s="2"/>
      <c r="L68" s="2"/>
      <c r="M68" s="2"/>
      <c r="N68" s="2"/>
      <c r="O68" s="2"/>
      <c r="P68" s="2"/>
      <c r="Q68" s="2"/>
      <c r="R68" s="2"/>
      <c r="S68" s="2"/>
      <c r="T68" s="11">
        <f>COUNTIF('07_상품상세_데이터'!$A$4:$A$103,A68)</f>
        <v>0</v>
      </c>
      <c r="U68" s="11">
        <f>SUMIF('07_상품상세_데이터'!$A$4:$A$103,A68,'07_상품상세_데이터'!$F$4:$F$103)</f>
        <v>0</v>
      </c>
      <c r="V68" s="2"/>
      <c r="W68" s="10"/>
      <c r="X68" s="10"/>
      <c r="Y68" s="2"/>
      <c r="Z68" s="2"/>
    </row>
    <row r="69" spans="1:26">
      <c r="A69" s="2"/>
      <c r="B69" s="2"/>
      <c r="C69" s="2"/>
      <c r="D69" s="3"/>
      <c r="E69" s="2"/>
      <c r="F69" s="2"/>
      <c r="G69" s="2"/>
      <c r="H69" s="2"/>
      <c r="I69" s="3"/>
      <c r="J69" s="10"/>
      <c r="K69" s="2"/>
      <c r="L69" s="2"/>
      <c r="M69" s="2"/>
      <c r="N69" s="2"/>
      <c r="O69" s="2"/>
      <c r="P69" s="2"/>
      <c r="Q69" s="2"/>
      <c r="R69" s="2"/>
      <c r="S69" s="2"/>
      <c r="T69" s="11">
        <f>COUNTIF('07_상품상세_데이터'!$A$4:$A$103,A69)</f>
        <v>0</v>
      </c>
      <c r="U69" s="11">
        <f>SUMIF('07_상품상세_데이터'!$A$4:$A$103,A69,'07_상품상세_데이터'!$F$4:$F$103)</f>
        <v>0</v>
      </c>
      <c r="V69" s="2"/>
      <c r="W69" s="10"/>
      <c r="X69" s="10"/>
      <c r="Y69" s="2"/>
      <c r="Z69" s="2"/>
    </row>
    <row r="70" spans="1:26">
      <c r="A70" s="2"/>
      <c r="B70" s="2"/>
      <c r="C70" s="2"/>
      <c r="D70" s="3"/>
      <c r="E70" s="2"/>
      <c r="F70" s="2"/>
      <c r="G70" s="2"/>
      <c r="H70" s="2"/>
      <c r="I70" s="3"/>
      <c r="J70" s="10"/>
      <c r="K70" s="2"/>
      <c r="L70" s="2"/>
      <c r="M70" s="2"/>
      <c r="N70" s="2"/>
      <c r="O70" s="2"/>
      <c r="P70" s="2"/>
      <c r="Q70" s="2"/>
      <c r="R70" s="2"/>
      <c r="S70" s="2"/>
      <c r="T70" s="11">
        <f>COUNTIF('07_상품상세_데이터'!$A$4:$A$103,A70)</f>
        <v>0</v>
      </c>
      <c r="U70" s="11">
        <f>SUMIF('07_상품상세_데이터'!$A$4:$A$103,A70,'07_상품상세_데이터'!$F$4:$F$103)</f>
        <v>0</v>
      </c>
      <c r="V70" s="2"/>
      <c r="W70" s="10"/>
      <c r="X70" s="10"/>
      <c r="Y70" s="2"/>
      <c r="Z70" s="2"/>
    </row>
    <row r="71" spans="1:26">
      <c r="A71" s="2"/>
      <c r="B71" s="2"/>
      <c r="C71" s="2"/>
      <c r="D71" s="3"/>
      <c r="E71" s="2"/>
      <c r="F71" s="2"/>
      <c r="G71" s="2"/>
      <c r="H71" s="2"/>
      <c r="I71" s="3"/>
      <c r="J71" s="10"/>
      <c r="K71" s="2"/>
      <c r="L71" s="2"/>
      <c r="M71" s="2"/>
      <c r="N71" s="2"/>
      <c r="O71" s="2"/>
      <c r="P71" s="2"/>
      <c r="Q71" s="2"/>
      <c r="R71" s="2"/>
      <c r="S71" s="2"/>
      <c r="T71" s="11">
        <f>COUNTIF('07_상품상세_데이터'!$A$4:$A$103,A71)</f>
        <v>0</v>
      </c>
      <c r="U71" s="11">
        <f>SUMIF('07_상품상세_데이터'!$A$4:$A$103,A71,'07_상품상세_데이터'!$F$4:$F$103)</f>
        <v>0</v>
      </c>
      <c r="V71" s="2"/>
      <c r="W71" s="10"/>
      <c r="X71" s="10"/>
      <c r="Y71" s="2"/>
      <c r="Z71" s="2"/>
    </row>
    <row r="72" spans="1:26">
      <c r="A72" s="2"/>
      <c r="B72" s="2"/>
      <c r="C72" s="2"/>
      <c r="D72" s="3"/>
      <c r="E72" s="2"/>
      <c r="F72" s="2"/>
      <c r="G72" s="2"/>
      <c r="H72" s="2"/>
      <c r="I72" s="3"/>
      <c r="J72" s="10"/>
      <c r="K72" s="2"/>
      <c r="L72" s="2"/>
      <c r="M72" s="2"/>
      <c r="N72" s="2"/>
      <c r="O72" s="2"/>
      <c r="P72" s="2"/>
      <c r="Q72" s="2"/>
      <c r="R72" s="2"/>
      <c r="S72" s="2"/>
      <c r="T72" s="11">
        <f>COUNTIF('07_상품상세_데이터'!$A$4:$A$103,A72)</f>
        <v>0</v>
      </c>
      <c r="U72" s="11">
        <f>SUMIF('07_상품상세_데이터'!$A$4:$A$103,A72,'07_상품상세_데이터'!$F$4:$F$103)</f>
        <v>0</v>
      </c>
      <c r="V72" s="2"/>
      <c r="W72" s="10"/>
      <c r="X72" s="10"/>
      <c r="Y72" s="2"/>
      <c r="Z72" s="2"/>
    </row>
    <row r="73" spans="1:26">
      <c r="A73" s="2"/>
      <c r="B73" s="2"/>
      <c r="C73" s="2"/>
      <c r="D73" s="3"/>
      <c r="E73" s="2"/>
      <c r="F73" s="2"/>
      <c r="G73" s="2"/>
      <c r="H73" s="2"/>
      <c r="I73" s="3"/>
      <c r="J73" s="10"/>
      <c r="K73" s="2"/>
      <c r="L73" s="2"/>
      <c r="M73" s="2"/>
      <c r="N73" s="2"/>
      <c r="O73" s="2"/>
      <c r="P73" s="2"/>
      <c r="Q73" s="2"/>
      <c r="R73" s="2"/>
      <c r="S73" s="2"/>
      <c r="T73" s="11">
        <f>COUNTIF('07_상품상세_데이터'!$A$4:$A$103,A73)</f>
        <v>0</v>
      </c>
      <c r="U73" s="11">
        <f>SUMIF('07_상품상세_데이터'!$A$4:$A$103,A73,'07_상품상세_데이터'!$F$4:$F$103)</f>
        <v>0</v>
      </c>
      <c r="V73" s="2"/>
      <c r="W73" s="10"/>
      <c r="X73" s="10"/>
      <c r="Y73" s="2"/>
      <c r="Z73" s="2"/>
    </row>
    <row r="74" spans="1:26">
      <c r="A74" s="2"/>
      <c r="B74" s="2"/>
      <c r="C74" s="2"/>
      <c r="D74" s="3"/>
      <c r="E74" s="2"/>
      <c r="F74" s="2"/>
      <c r="G74" s="2"/>
      <c r="H74" s="2"/>
      <c r="I74" s="3"/>
      <c r="J74" s="10"/>
      <c r="K74" s="2"/>
      <c r="L74" s="2"/>
      <c r="M74" s="2"/>
      <c r="N74" s="2"/>
      <c r="O74" s="2"/>
      <c r="P74" s="2"/>
      <c r="Q74" s="2"/>
      <c r="R74" s="2"/>
      <c r="S74" s="2"/>
      <c r="T74" s="11">
        <f>COUNTIF('07_상품상세_데이터'!$A$4:$A$103,A74)</f>
        <v>0</v>
      </c>
      <c r="U74" s="11">
        <f>SUMIF('07_상품상세_데이터'!$A$4:$A$103,A74,'07_상품상세_데이터'!$F$4:$F$103)</f>
        <v>0</v>
      </c>
      <c r="V74" s="2"/>
      <c r="W74" s="10"/>
      <c r="X74" s="10"/>
      <c r="Y74" s="2"/>
      <c r="Z74" s="2"/>
    </row>
    <row r="75" spans="1:26">
      <c r="A75" s="2"/>
      <c r="B75" s="2"/>
      <c r="C75" s="2"/>
      <c r="D75" s="3"/>
      <c r="E75" s="2"/>
      <c r="F75" s="2"/>
      <c r="G75" s="2"/>
      <c r="H75" s="2"/>
      <c r="I75" s="3"/>
      <c r="J75" s="10"/>
      <c r="K75" s="2"/>
      <c r="L75" s="2"/>
      <c r="M75" s="2"/>
      <c r="N75" s="2"/>
      <c r="O75" s="2"/>
      <c r="P75" s="2"/>
      <c r="Q75" s="2"/>
      <c r="R75" s="2"/>
      <c r="S75" s="2"/>
      <c r="T75" s="11">
        <f>COUNTIF('07_상품상세_데이터'!$A$4:$A$103,A75)</f>
        <v>0</v>
      </c>
      <c r="U75" s="11">
        <f>SUMIF('07_상품상세_데이터'!$A$4:$A$103,A75,'07_상품상세_데이터'!$F$4:$F$103)</f>
        <v>0</v>
      </c>
      <c r="V75" s="2"/>
      <c r="W75" s="10"/>
      <c r="X75" s="10"/>
      <c r="Y75" s="2"/>
      <c r="Z75" s="2"/>
    </row>
    <row r="76" spans="1:26">
      <c r="A76" s="2"/>
      <c r="B76" s="2"/>
      <c r="C76" s="2"/>
      <c r="D76" s="3"/>
      <c r="E76" s="2"/>
      <c r="F76" s="2"/>
      <c r="G76" s="2"/>
      <c r="H76" s="2"/>
      <c r="I76" s="3"/>
      <c r="J76" s="10"/>
      <c r="K76" s="2"/>
      <c r="L76" s="2"/>
      <c r="M76" s="2"/>
      <c r="N76" s="2"/>
      <c r="O76" s="2"/>
      <c r="P76" s="2"/>
      <c r="Q76" s="2"/>
      <c r="R76" s="2"/>
      <c r="S76" s="2"/>
      <c r="T76" s="11">
        <f>COUNTIF('07_상품상세_데이터'!$A$4:$A$103,A76)</f>
        <v>0</v>
      </c>
      <c r="U76" s="11">
        <f>SUMIF('07_상품상세_데이터'!$A$4:$A$103,A76,'07_상품상세_데이터'!$F$4:$F$103)</f>
        <v>0</v>
      </c>
      <c r="V76" s="2"/>
      <c r="W76" s="10"/>
      <c r="X76" s="10"/>
      <c r="Y76" s="2"/>
      <c r="Z76" s="2"/>
    </row>
    <row r="77" spans="1:26">
      <c r="A77" s="2"/>
      <c r="B77" s="2"/>
      <c r="C77" s="2"/>
      <c r="D77" s="3"/>
      <c r="E77" s="2"/>
      <c r="F77" s="2"/>
      <c r="G77" s="2"/>
      <c r="H77" s="2"/>
      <c r="I77" s="3"/>
      <c r="J77" s="10"/>
      <c r="K77" s="2"/>
      <c r="L77" s="2"/>
      <c r="M77" s="2"/>
      <c r="N77" s="2"/>
      <c r="O77" s="2"/>
      <c r="P77" s="2"/>
      <c r="Q77" s="2"/>
      <c r="R77" s="2"/>
      <c r="S77" s="2"/>
      <c r="T77" s="11">
        <f>COUNTIF('07_상품상세_데이터'!$A$4:$A$103,A77)</f>
        <v>0</v>
      </c>
      <c r="U77" s="11">
        <f>SUMIF('07_상품상세_데이터'!$A$4:$A$103,A77,'07_상품상세_데이터'!$F$4:$F$103)</f>
        <v>0</v>
      </c>
      <c r="V77" s="2"/>
      <c r="W77" s="10"/>
      <c r="X77" s="10"/>
      <c r="Y77" s="2"/>
      <c r="Z77" s="2"/>
    </row>
    <row r="78" spans="1:26">
      <c r="A78" s="2"/>
      <c r="B78" s="2"/>
      <c r="C78" s="2"/>
      <c r="D78" s="3"/>
      <c r="E78" s="2"/>
      <c r="F78" s="2"/>
      <c r="G78" s="2"/>
      <c r="H78" s="2"/>
      <c r="I78" s="3"/>
      <c r="J78" s="10"/>
      <c r="K78" s="2"/>
      <c r="L78" s="2"/>
      <c r="M78" s="2"/>
      <c r="N78" s="2"/>
      <c r="O78" s="2"/>
      <c r="P78" s="2"/>
      <c r="Q78" s="2"/>
      <c r="R78" s="2"/>
      <c r="S78" s="2"/>
      <c r="T78" s="11">
        <f>COUNTIF('07_상품상세_데이터'!$A$4:$A$103,A78)</f>
        <v>0</v>
      </c>
      <c r="U78" s="11">
        <f>SUMIF('07_상품상세_데이터'!$A$4:$A$103,A78,'07_상품상세_데이터'!$F$4:$F$103)</f>
        <v>0</v>
      </c>
      <c r="V78" s="2"/>
      <c r="W78" s="10"/>
      <c r="X78" s="10"/>
      <c r="Y78" s="2"/>
      <c r="Z78" s="2"/>
    </row>
    <row r="79" spans="1:26">
      <c r="A79" s="2"/>
      <c r="B79" s="2"/>
      <c r="C79" s="2"/>
      <c r="D79" s="3"/>
      <c r="E79" s="2"/>
      <c r="F79" s="2"/>
      <c r="G79" s="2"/>
      <c r="H79" s="2"/>
      <c r="I79" s="3"/>
      <c r="J79" s="10"/>
      <c r="K79" s="2"/>
      <c r="L79" s="2"/>
      <c r="M79" s="2"/>
      <c r="N79" s="2"/>
      <c r="O79" s="2"/>
      <c r="P79" s="2"/>
      <c r="Q79" s="2"/>
      <c r="R79" s="2"/>
      <c r="S79" s="2"/>
      <c r="T79" s="11">
        <f>COUNTIF('07_상품상세_데이터'!$A$4:$A$103,A79)</f>
        <v>0</v>
      </c>
      <c r="U79" s="11">
        <f>SUMIF('07_상품상세_데이터'!$A$4:$A$103,A79,'07_상품상세_데이터'!$F$4:$F$103)</f>
        <v>0</v>
      </c>
      <c r="V79" s="2"/>
      <c r="W79" s="10"/>
      <c r="X79" s="10"/>
      <c r="Y79" s="2"/>
      <c r="Z79" s="2"/>
    </row>
    <row r="80" spans="1:26">
      <c r="A80" s="2"/>
      <c r="B80" s="2"/>
      <c r="C80" s="2"/>
      <c r="D80" s="3"/>
      <c r="E80" s="2"/>
      <c r="F80" s="2"/>
      <c r="G80" s="2"/>
      <c r="H80" s="2"/>
      <c r="I80" s="3"/>
      <c r="J80" s="10"/>
      <c r="K80" s="2"/>
      <c r="L80" s="2"/>
      <c r="M80" s="2"/>
      <c r="N80" s="2"/>
      <c r="O80" s="2"/>
      <c r="P80" s="2"/>
      <c r="Q80" s="2"/>
      <c r="R80" s="2"/>
      <c r="S80" s="2"/>
      <c r="T80" s="11">
        <f>COUNTIF('07_상품상세_데이터'!$A$4:$A$103,A80)</f>
        <v>0</v>
      </c>
      <c r="U80" s="11">
        <f>SUMIF('07_상품상세_데이터'!$A$4:$A$103,A80,'07_상품상세_데이터'!$F$4:$F$103)</f>
        <v>0</v>
      </c>
      <c r="V80" s="2"/>
      <c r="W80" s="10"/>
      <c r="X80" s="10"/>
      <c r="Y80" s="2"/>
      <c r="Z80" s="2"/>
    </row>
    <row r="81" spans="1:26">
      <c r="A81" s="2"/>
      <c r="B81" s="2"/>
      <c r="C81" s="2"/>
      <c r="D81" s="3"/>
      <c r="E81" s="2"/>
      <c r="F81" s="2"/>
      <c r="G81" s="2"/>
      <c r="H81" s="2"/>
      <c r="I81" s="3"/>
      <c r="J81" s="10"/>
      <c r="K81" s="2"/>
      <c r="L81" s="2"/>
      <c r="M81" s="2"/>
      <c r="N81" s="2"/>
      <c r="O81" s="2"/>
      <c r="P81" s="2"/>
      <c r="Q81" s="2"/>
      <c r="R81" s="2"/>
      <c r="S81" s="2"/>
      <c r="T81" s="11">
        <f>COUNTIF('07_상품상세_데이터'!$A$4:$A$103,A81)</f>
        <v>0</v>
      </c>
      <c r="U81" s="11">
        <f>SUMIF('07_상품상세_데이터'!$A$4:$A$103,A81,'07_상품상세_데이터'!$F$4:$F$103)</f>
        <v>0</v>
      </c>
      <c r="V81" s="2"/>
      <c r="W81" s="10"/>
      <c r="X81" s="10"/>
      <c r="Y81" s="2"/>
      <c r="Z81" s="2"/>
    </row>
    <row r="82" spans="1:26">
      <c r="A82" s="2"/>
      <c r="B82" s="2"/>
      <c r="C82" s="2"/>
      <c r="D82" s="3"/>
      <c r="E82" s="2"/>
      <c r="F82" s="2"/>
      <c r="G82" s="2"/>
      <c r="H82" s="2"/>
      <c r="I82" s="3"/>
      <c r="J82" s="10"/>
      <c r="K82" s="2"/>
      <c r="L82" s="2"/>
      <c r="M82" s="2"/>
      <c r="N82" s="2"/>
      <c r="O82" s="2"/>
      <c r="P82" s="2"/>
      <c r="Q82" s="2"/>
      <c r="R82" s="2"/>
      <c r="S82" s="2"/>
      <c r="T82" s="11">
        <f>COUNTIF('07_상품상세_데이터'!$A$4:$A$103,A82)</f>
        <v>0</v>
      </c>
      <c r="U82" s="11">
        <f>SUMIF('07_상품상세_데이터'!$A$4:$A$103,A82,'07_상품상세_데이터'!$F$4:$F$103)</f>
        <v>0</v>
      </c>
      <c r="V82" s="2"/>
      <c r="W82" s="10"/>
      <c r="X82" s="10"/>
      <c r="Y82" s="2"/>
      <c r="Z82" s="2"/>
    </row>
    <row r="83" spans="1:26">
      <c r="A83" s="2"/>
      <c r="B83" s="2"/>
      <c r="C83" s="2"/>
      <c r="D83" s="3"/>
      <c r="E83" s="2"/>
      <c r="F83" s="2"/>
      <c r="G83" s="2"/>
      <c r="H83" s="2"/>
      <c r="I83" s="3"/>
      <c r="J83" s="10"/>
      <c r="K83" s="2"/>
      <c r="L83" s="2"/>
      <c r="M83" s="2"/>
      <c r="N83" s="2"/>
      <c r="O83" s="2"/>
      <c r="P83" s="2"/>
      <c r="Q83" s="2"/>
      <c r="R83" s="2"/>
      <c r="S83" s="2"/>
      <c r="T83" s="11">
        <f>COUNTIF('07_상품상세_데이터'!$A$4:$A$103,A83)</f>
        <v>0</v>
      </c>
      <c r="U83" s="11">
        <f>SUMIF('07_상품상세_데이터'!$A$4:$A$103,A83,'07_상품상세_데이터'!$F$4:$F$103)</f>
        <v>0</v>
      </c>
      <c r="V83" s="2"/>
      <c r="W83" s="10"/>
      <c r="X83" s="10"/>
      <c r="Y83" s="2"/>
      <c r="Z83" s="2"/>
    </row>
    <row r="84" spans="1:26">
      <c r="A84" s="2"/>
      <c r="B84" s="2"/>
      <c r="C84" s="2"/>
      <c r="D84" s="3"/>
      <c r="E84" s="2"/>
      <c r="F84" s="2"/>
      <c r="G84" s="2"/>
      <c r="H84" s="2"/>
      <c r="I84" s="3"/>
      <c r="J84" s="10"/>
      <c r="K84" s="2"/>
      <c r="L84" s="2"/>
      <c r="M84" s="2"/>
      <c r="N84" s="2"/>
      <c r="O84" s="2"/>
      <c r="P84" s="2"/>
      <c r="Q84" s="2"/>
      <c r="R84" s="2"/>
      <c r="S84" s="2"/>
      <c r="T84" s="11">
        <f>COUNTIF('07_상품상세_데이터'!$A$4:$A$103,A84)</f>
        <v>0</v>
      </c>
      <c r="U84" s="11">
        <f>SUMIF('07_상품상세_데이터'!$A$4:$A$103,A84,'07_상품상세_데이터'!$F$4:$F$103)</f>
        <v>0</v>
      </c>
      <c r="V84" s="2"/>
      <c r="W84" s="10"/>
      <c r="X84" s="10"/>
      <c r="Y84" s="2"/>
      <c r="Z84" s="2"/>
    </row>
    <row r="85" spans="1:26">
      <c r="A85" s="2"/>
      <c r="B85" s="2"/>
      <c r="C85" s="2"/>
      <c r="D85" s="3"/>
      <c r="E85" s="2"/>
      <c r="F85" s="2"/>
      <c r="G85" s="2"/>
      <c r="H85" s="2"/>
      <c r="I85" s="3"/>
      <c r="J85" s="10"/>
      <c r="K85" s="2"/>
      <c r="L85" s="2"/>
      <c r="M85" s="2"/>
      <c r="N85" s="2"/>
      <c r="O85" s="2"/>
      <c r="P85" s="2"/>
      <c r="Q85" s="2"/>
      <c r="R85" s="2"/>
      <c r="S85" s="2"/>
      <c r="T85" s="11">
        <f>COUNTIF('07_상품상세_데이터'!$A$4:$A$103,A85)</f>
        <v>0</v>
      </c>
      <c r="U85" s="11">
        <f>SUMIF('07_상품상세_데이터'!$A$4:$A$103,A85,'07_상품상세_데이터'!$F$4:$F$103)</f>
        <v>0</v>
      </c>
      <c r="V85" s="2"/>
      <c r="W85" s="10"/>
      <c r="X85" s="10"/>
      <c r="Y85" s="2"/>
      <c r="Z85" s="2"/>
    </row>
    <row r="86" spans="1:26">
      <c r="A86" s="2"/>
      <c r="B86" s="2"/>
      <c r="C86" s="2"/>
      <c r="D86" s="3"/>
      <c r="E86" s="2"/>
      <c r="F86" s="2"/>
      <c r="G86" s="2"/>
      <c r="H86" s="2"/>
      <c r="I86" s="3"/>
      <c r="J86" s="10"/>
      <c r="K86" s="2"/>
      <c r="L86" s="2"/>
      <c r="M86" s="2"/>
      <c r="N86" s="2"/>
      <c r="O86" s="2"/>
      <c r="P86" s="2"/>
      <c r="Q86" s="2"/>
      <c r="R86" s="2"/>
      <c r="S86" s="2"/>
      <c r="T86" s="11">
        <f>COUNTIF('07_상품상세_데이터'!$A$4:$A$103,A86)</f>
        <v>0</v>
      </c>
      <c r="U86" s="11">
        <f>SUMIF('07_상품상세_데이터'!$A$4:$A$103,A86,'07_상품상세_데이터'!$F$4:$F$103)</f>
        <v>0</v>
      </c>
      <c r="V86" s="2"/>
      <c r="W86" s="10"/>
      <c r="X86" s="10"/>
      <c r="Y86" s="2"/>
      <c r="Z86" s="2"/>
    </row>
    <row r="87" spans="1:26">
      <c r="A87" s="2"/>
      <c r="B87" s="2"/>
      <c r="C87" s="2"/>
      <c r="D87" s="3"/>
      <c r="E87" s="2"/>
      <c r="F87" s="2"/>
      <c r="G87" s="2"/>
      <c r="H87" s="2"/>
      <c r="I87" s="3"/>
      <c r="J87" s="10"/>
      <c r="K87" s="2"/>
      <c r="L87" s="2"/>
      <c r="M87" s="2"/>
      <c r="N87" s="2"/>
      <c r="O87" s="2"/>
      <c r="P87" s="2"/>
      <c r="Q87" s="2"/>
      <c r="R87" s="2"/>
      <c r="S87" s="2"/>
      <c r="T87" s="11">
        <f>COUNTIF('07_상품상세_데이터'!$A$4:$A$103,A87)</f>
        <v>0</v>
      </c>
      <c r="U87" s="11">
        <f>SUMIF('07_상품상세_데이터'!$A$4:$A$103,A87,'07_상품상세_데이터'!$F$4:$F$103)</f>
        <v>0</v>
      </c>
      <c r="V87" s="2"/>
      <c r="W87" s="10"/>
      <c r="X87" s="10"/>
      <c r="Y87" s="2"/>
      <c r="Z87" s="2"/>
    </row>
    <row r="88" spans="1:26">
      <c r="A88" s="2"/>
      <c r="B88" s="2"/>
      <c r="C88" s="2"/>
      <c r="D88" s="3"/>
      <c r="E88" s="2"/>
      <c r="F88" s="2"/>
      <c r="G88" s="2"/>
      <c r="H88" s="2"/>
      <c r="I88" s="3"/>
      <c r="J88" s="10"/>
      <c r="K88" s="2"/>
      <c r="L88" s="2"/>
      <c r="M88" s="2"/>
      <c r="N88" s="2"/>
      <c r="O88" s="2"/>
      <c r="P88" s="2"/>
      <c r="Q88" s="2"/>
      <c r="R88" s="2"/>
      <c r="S88" s="2"/>
      <c r="T88" s="11">
        <f>COUNTIF('07_상품상세_데이터'!$A$4:$A$103,A88)</f>
        <v>0</v>
      </c>
      <c r="U88" s="11">
        <f>SUMIF('07_상품상세_데이터'!$A$4:$A$103,A88,'07_상품상세_데이터'!$F$4:$F$103)</f>
        <v>0</v>
      </c>
      <c r="V88" s="2"/>
      <c r="W88" s="10"/>
      <c r="X88" s="10"/>
      <c r="Y88" s="2"/>
      <c r="Z88" s="2"/>
    </row>
    <row r="89" spans="1:26">
      <c r="A89" s="2"/>
      <c r="B89" s="2"/>
      <c r="C89" s="2"/>
      <c r="D89" s="3"/>
      <c r="E89" s="2"/>
      <c r="F89" s="2"/>
      <c r="G89" s="2"/>
      <c r="H89" s="2"/>
      <c r="I89" s="3"/>
      <c r="J89" s="10"/>
      <c r="K89" s="2"/>
      <c r="L89" s="2"/>
      <c r="M89" s="2"/>
      <c r="N89" s="2"/>
      <c r="O89" s="2"/>
      <c r="P89" s="2"/>
      <c r="Q89" s="2"/>
      <c r="R89" s="2"/>
      <c r="S89" s="2"/>
      <c r="T89" s="11">
        <f>COUNTIF('07_상품상세_데이터'!$A$4:$A$103,A89)</f>
        <v>0</v>
      </c>
      <c r="U89" s="11">
        <f>SUMIF('07_상품상세_데이터'!$A$4:$A$103,A89,'07_상품상세_데이터'!$F$4:$F$103)</f>
        <v>0</v>
      </c>
      <c r="V89" s="2"/>
      <c r="W89" s="10"/>
      <c r="X89" s="10"/>
      <c r="Y89" s="2"/>
      <c r="Z89" s="2"/>
    </row>
    <row r="90" spans="1:26">
      <c r="A90" s="2"/>
      <c r="B90" s="2"/>
      <c r="C90" s="2"/>
      <c r="D90" s="3"/>
      <c r="E90" s="2"/>
      <c r="F90" s="2"/>
      <c r="G90" s="2"/>
      <c r="H90" s="2"/>
      <c r="I90" s="3"/>
      <c r="J90" s="10"/>
      <c r="K90" s="2"/>
      <c r="L90" s="2"/>
      <c r="M90" s="2"/>
      <c r="N90" s="2"/>
      <c r="O90" s="2"/>
      <c r="P90" s="2"/>
      <c r="Q90" s="2"/>
      <c r="R90" s="2"/>
      <c r="S90" s="2"/>
      <c r="T90" s="11">
        <f>COUNTIF('07_상품상세_데이터'!$A$4:$A$103,A90)</f>
        <v>0</v>
      </c>
      <c r="U90" s="11">
        <f>SUMIF('07_상품상세_데이터'!$A$4:$A$103,A90,'07_상품상세_데이터'!$F$4:$F$103)</f>
        <v>0</v>
      </c>
      <c r="V90" s="2"/>
      <c r="W90" s="10"/>
      <c r="X90" s="10"/>
      <c r="Y90" s="2"/>
      <c r="Z90" s="2"/>
    </row>
    <row r="91" spans="1:26">
      <c r="A91" s="2"/>
      <c r="B91" s="2"/>
      <c r="C91" s="2"/>
      <c r="D91" s="3"/>
      <c r="E91" s="2"/>
      <c r="F91" s="2"/>
      <c r="G91" s="2"/>
      <c r="H91" s="2"/>
      <c r="I91" s="3"/>
      <c r="J91" s="10"/>
      <c r="K91" s="2"/>
      <c r="L91" s="2"/>
      <c r="M91" s="2"/>
      <c r="N91" s="2"/>
      <c r="O91" s="2"/>
      <c r="P91" s="2"/>
      <c r="Q91" s="2"/>
      <c r="R91" s="2"/>
      <c r="S91" s="2"/>
      <c r="T91" s="11">
        <f>COUNTIF('07_상품상세_데이터'!$A$4:$A$103,A91)</f>
        <v>0</v>
      </c>
      <c r="U91" s="11">
        <f>SUMIF('07_상품상세_데이터'!$A$4:$A$103,A91,'07_상품상세_데이터'!$F$4:$F$103)</f>
        <v>0</v>
      </c>
      <c r="V91" s="2"/>
      <c r="W91" s="10"/>
      <c r="X91" s="10"/>
      <c r="Y91" s="2"/>
      <c r="Z91" s="2"/>
    </row>
    <row r="92" spans="1:26">
      <c r="A92" s="2"/>
      <c r="B92" s="2"/>
      <c r="C92" s="2"/>
      <c r="D92" s="3"/>
      <c r="E92" s="2"/>
      <c r="F92" s="2"/>
      <c r="G92" s="2"/>
      <c r="H92" s="2"/>
      <c r="I92" s="3"/>
      <c r="J92" s="10"/>
      <c r="K92" s="2"/>
      <c r="L92" s="2"/>
      <c r="M92" s="2"/>
      <c r="N92" s="2"/>
      <c r="O92" s="2"/>
      <c r="P92" s="2"/>
      <c r="Q92" s="2"/>
      <c r="R92" s="2"/>
      <c r="S92" s="2"/>
      <c r="T92" s="11">
        <f>COUNTIF('07_상품상세_데이터'!$A$4:$A$103,A92)</f>
        <v>0</v>
      </c>
      <c r="U92" s="11">
        <f>SUMIF('07_상품상세_데이터'!$A$4:$A$103,A92,'07_상품상세_데이터'!$F$4:$F$103)</f>
        <v>0</v>
      </c>
      <c r="V92" s="2"/>
      <c r="W92" s="10"/>
      <c r="X92" s="10"/>
      <c r="Y92" s="2"/>
      <c r="Z92" s="2"/>
    </row>
    <row r="93" spans="1:26">
      <c r="A93" s="2"/>
      <c r="B93" s="2"/>
      <c r="C93" s="2"/>
      <c r="D93" s="3"/>
      <c r="E93" s="2"/>
      <c r="F93" s="2"/>
      <c r="G93" s="2"/>
      <c r="H93" s="2"/>
      <c r="I93" s="3"/>
      <c r="J93" s="10"/>
      <c r="K93" s="2"/>
      <c r="L93" s="2"/>
      <c r="M93" s="2"/>
      <c r="N93" s="2"/>
      <c r="O93" s="2"/>
      <c r="P93" s="2"/>
      <c r="Q93" s="2"/>
      <c r="R93" s="2"/>
      <c r="S93" s="2"/>
      <c r="T93" s="11">
        <f>COUNTIF('07_상품상세_데이터'!$A$4:$A$103,A93)</f>
        <v>0</v>
      </c>
      <c r="U93" s="11">
        <f>SUMIF('07_상품상세_데이터'!$A$4:$A$103,A93,'07_상품상세_데이터'!$F$4:$F$103)</f>
        <v>0</v>
      </c>
      <c r="V93" s="2"/>
      <c r="W93" s="10"/>
      <c r="X93" s="10"/>
      <c r="Y93" s="2"/>
      <c r="Z93" s="2"/>
    </row>
    <row r="94" spans="1:26">
      <c r="A94" s="2"/>
      <c r="B94" s="2"/>
      <c r="C94" s="2"/>
      <c r="D94" s="3"/>
      <c r="E94" s="2"/>
      <c r="F94" s="2"/>
      <c r="G94" s="2"/>
      <c r="H94" s="2"/>
      <c r="I94" s="3"/>
      <c r="J94" s="10"/>
      <c r="K94" s="2"/>
      <c r="L94" s="2"/>
      <c r="M94" s="2"/>
      <c r="N94" s="2"/>
      <c r="O94" s="2"/>
      <c r="P94" s="2"/>
      <c r="Q94" s="2"/>
      <c r="R94" s="2"/>
      <c r="S94" s="2"/>
      <c r="T94" s="11">
        <f>COUNTIF('07_상품상세_데이터'!$A$4:$A$103,A94)</f>
        <v>0</v>
      </c>
      <c r="U94" s="11">
        <f>SUMIF('07_상품상세_데이터'!$A$4:$A$103,A94,'07_상품상세_데이터'!$F$4:$F$103)</f>
        <v>0</v>
      </c>
      <c r="V94" s="2"/>
      <c r="W94" s="10"/>
      <c r="X94" s="10"/>
      <c r="Y94" s="2"/>
      <c r="Z94" s="2"/>
    </row>
    <row r="95" spans="1:26">
      <c r="A95" s="2"/>
      <c r="B95" s="2"/>
      <c r="C95" s="2"/>
      <c r="D95" s="3"/>
      <c r="E95" s="2"/>
      <c r="F95" s="2"/>
      <c r="G95" s="2"/>
      <c r="H95" s="2"/>
      <c r="I95" s="3"/>
      <c r="J95" s="10"/>
      <c r="K95" s="2"/>
      <c r="L95" s="2"/>
      <c r="M95" s="2"/>
      <c r="N95" s="2"/>
      <c r="O95" s="2"/>
      <c r="P95" s="2"/>
      <c r="Q95" s="2"/>
      <c r="R95" s="2"/>
      <c r="S95" s="2"/>
      <c r="T95" s="11">
        <f>COUNTIF('07_상품상세_데이터'!$A$4:$A$103,A95)</f>
        <v>0</v>
      </c>
      <c r="U95" s="11">
        <f>SUMIF('07_상품상세_데이터'!$A$4:$A$103,A95,'07_상품상세_데이터'!$F$4:$F$103)</f>
        <v>0</v>
      </c>
      <c r="V95" s="2"/>
      <c r="W95" s="10"/>
      <c r="X95" s="10"/>
      <c r="Y95" s="2"/>
      <c r="Z95" s="2"/>
    </row>
    <row r="96" spans="1:26">
      <c r="A96" s="2"/>
      <c r="B96" s="2"/>
      <c r="C96" s="2"/>
      <c r="D96" s="3"/>
      <c r="E96" s="2"/>
      <c r="F96" s="2"/>
      <c r="G96" s="2"/>
      <c r="H96" s="2"/>
      <c r="I96" s="3"/>
      <c r="J96" s="10"/>
      <c r="K96" s="2"/>
      <c r="L96" s="2"/>
      <c r="M96" s="2"/>
      <c r="N96" s="2"/>
      <c r="O96" s="2"/>
      <c r="P96" s="2"/>
      <c r="Q96" s="2"/>
      <c r="R96" s="2"/>
      <c r="S96" s="2"/>
      <c r="T96" s="11">
        <f>COUNTIF('07_상품상세_데이터'!$A$4:$A$103,A96)</f>
        <v>0</v>
      </c>
      <c r="U96" s="11">
        <f>SUMIF('07_상품상세_데이터'!$A$4:$A$103,A96,'07_상품상세_데이터'!$F$4:$F$103)</f>
        <v>0</v>
      </c>
      <c r="V96" s="2"/>
      <c r="W96" s="10"/>
      <c r="X96" s="10"/>
      <c r="Y96" s="2"/>
      <c r="Z96" s="2"/>
    </row>
    <row r="97" spans="1:26">
      <c r="A97" s="2"/>
      <c r="B97" s="2"/>
      <c r="C97" s="2"/>
      <c r="D97" s="3"/>
      <c r="E97" s="2"/>
      <c r="F97" s="2"/>
      <c r="G97" s="2"/>
      <c r="H97" s="2"/>
      <c r="I97" s="3"/>
      <c r="J97" s="10"/>
      <c r="K97" s="2"/>
      <c r="L97" s="2"/>
      <c r="M97" s="2"/>
      <c r="N97" s="2"/>
      <c r="O97" s="2"/>
      <c r="P97" s="2"/>
      <c r="Q97" s="2"/>
      <c r="R97" s="2"/>
      <c r="S97" s="2"/>
      <c r="T97" s="11">
        <f>COUNTIF('07_상품상세_데이터'!$A$4:$A$103,A97)</f>
        <v>0</v>
      </c>
      <c r="U97" s="11">
        <f>SUMIF('07_상품상세_데이터'!$A$4:$A$103,A97,'07_상품상세_데이터'!$F$4:$F$103)</f>
        <v>0</v>
      </c>
      <c r="V97" s="2"/>
      <c r="W97" s="10"/>
      <c r="X97" s="10"/>
      <c r="Y97" s="2"/>
      <c r="Z97" s="2"/>
    </row>
    <row r="98" spans="1:26">
      <c r="A98" s="2"/>
      <c r="B98" s="2"/>
      <c r="C98" s="2"/>
      <c r="D98" s="3"/>
      <c r="E98" s="2"/>
      <c r="F98" s="2"/>
      <c r="G98" s="2"/>
      <c r="H98" s="2"/>
      <c r="I98" s="3"/>
      <c r="J98" s="10"/>
      <c r="K98" s="2"/>
      <c r="L98" s="2"/>
      <c r="M98" s="2"/>
      <c r="N98" s="2"/>
      <c r="O98" s="2"/>
      <c r="P98" s="2"/>
      <c r="Q98" s="2"/>
      <c r="R98" s="2"/>
      <c r="S98" s="2"/>
      <c r="T98" s="11">
        <f>COUNTIF('07_상품상세_데이터'!$A$4:$A$103,A98)</f>
        <v>0</v>
      </c>
      <c r="U98" s="11">
        <f>SUMIF('07_상품상세_데이터'!$A$4:$A$103,A98,'07_상품상세_데이터'!$F$4:$F$103)</f>
        <v>0</v>
      </c>
      <c r="V98" s="2"/>
      <c r="W98" s="10"/>
      <c r="X98" s="10"/>
      <c r="Y98" s="2"/>
      <c r="Z98" s="2"/>
    </row>
    <row r="99" spans="1:26">
      <c r="A99" s="2"/>
      <c r="B99" s="2"/>
      <c r="C99" s="2"/>
      <c r="D99" s="3"/>
      <c r="E99" s="2"/>
      <c r="F99" s="2"/>
      <c r="G99" s="2"/>
      <c r="H99" s="2"/>
      <c r="I99" s="3"/>
      <c r="J99" s="10"/>
      <c r="K99" s="2"/>
      <c r="L99" s="2"/>
      <c r="M99" s="2"/>
      <c r="N99" s="2"/>
      <c r="O99" s="2"/>
      <c r="P99" s="2"/>
      <c r="Q99" s="2"/>
      <c r="R99" s="2"/>
      <c r="S99" s="2"/>
      <c r="T99" s="11">
        <f>COUNTIF('07_상품상세_데이터'!$A$4:$A$103,A99)</f>
        <v>0</v>
      </c>
      <c r="U99" s="11">
        <f>SUMIF('07_상품상세_데이터'!$A$4:$A$103,A99,'07_상품상세_데이터'!$F$4:$F$103)</f>
        <v>0</v>
      </c>
      <c r="V99" s="2"/>
      <c r="W99" s="10"/>
      <c r="X99" s="10"/>
      <c r="Y99" s="2"/>
      <c r="Z99" s="2"/>
    </row>
    <row r="100" spans="1:26">
      <c r="A100" s="2"/>
      <c r="B100" s="2"/>
      <c r="C100" s="2"/>
      <c r="D100" s="3"/>
      <c r="E100" s="2"/>
      <c r="F100" s="2"/>
      <c r="G100" s="2"/>
      <c r="H100" s="2"/>
      <c r="I100" s="3"/>
      <c r="J100" s="10"/>
      <c r="K100" s="2"/>
      <c r="L100" s="2"/>
      <c r="M100" s="2"/>
      <c r="N100" s="2"/>
      <c r="O100" s="2"/>
      <c r="P100" s="2"/>
      <c r="Q100" s="2"/>
      <c r="R100" s="2"/>
      <c r="S100" s="2"/>
      <c r="T100" s="11">
        <f>COUNTIF('07_상품상세_데이터'!$A$4:$A$103,A100)</f>
        <v>0</v>
      </c>
      <c r="U100" s="11">
        <f>SUMIF('07_상품상세_데이터'!$A$4:$A$103,A100,'07_상품상세_데이터'!$F$4:$F$103)</f>
        <v>0</v>
      </c>
      <c r="V100" s="2"/>
      <c r="W100" s="10"/>
      <c r="X100" s="10"/>
      <c r="Y100" s="2"/>
      <c r="Z100" s="2"/>
    </row>
    <row r="101" spans="1:26">
      <c r="A101" s="2"/>
      <c r="B101" s="2"/>
      <c r="C101" s="2"/>
      <c r="D101" s="3"/>
      <c r="E101" s="2"/>
      <c r="F101" s="2"/>
      <c r="G101" s="2"/>
      <c r="H101" s="2"/>
      <c r="I101" s="3"/>
      <c r="J101" s="10"/>
      <c r="K101" s="2"/>
      <c r="L101" s="2"/>
      <c r="M101" s="2"/>
      <c r="N101" s="2"/>
      <c r="O101" s="2"/>
      <c r="P101" s="2"/>
      <c r="Q101" s="2"/>
      <c r="R101" s="2"/>
      <c r="S101" s="2"/>
      <c r="T101" s="11">
        <f>COUNTIF('07_상품상세_데이터'!$A$4:$A$103,A101)</f>
        <v>0</v>
      </c>
      <c r="U101" s="11">
        <f>SUMIF('07_상품상세_데이터'!$A$4:$A$103,A101,'07_상품상세_데이터'!$F$4:$F$103)</f>
        <v>0</v>
      </c>
      <c r="V101" s="2"/>
      <c r="W101" s="10"/>
      <c r="X101" s="10"/>
      <c r="Y101" s="2"/>
      <c r="Z101" s="2"/>
    </row>
    <row r="102" spans="1:26">
      <c r="A102" s="2"/>
      <c r="B102" s="2"/>
      <c r="C102" s="2"/>
      <c r="D102" s="3"/>
      <c r="E102" s="2"/>
      <c r="F102" s="2"/>
      <c r="G102" s="2"/>
      <c r="H102" s="2"/>
      <c r="I102" s="3"/>
      <c r="J102" s="10"/>
      <c r="K102" s="2"/>
      <c r="L102" s="2"/>
      <c r="M102" s="2"/>
      <c r="N102" s="2"/>
      <c r="O102" s="2"/>
      <c r="P102" s="2"/>
      <c r="Q102" s="2"/>
      <c r="R102" s="2"/>
      <c r="S102" s="2"/>
      <c r="T102" s="11">
        <f>COUNTIF('07_상품상세_데이터'!$A$4:$A$103,A102)</f>
        <v>0</v>
      </c>
      <c r="U102" s="11">
        <f>SUMIF('07_상품상세_데이터'!$A$4:$A$103,A102,'07_상품상세_데이터'!$F$4:$F$103)</f>
        <v>0</v>
      </c>
      <c r="V102" s="2"/>
      <c r="W102" s="10"/>
      <c r="X102" s="10"/>
      <c r="Y102" s="2"/>
      <c r="Z102" s="2"/>
    </row>
    <row r="103" spans="1:26">
      <c r="A103" s="2"/>
      <c r="B103" s="2"/>
      <c r="C103" s="2"/>
      <c r="D103" s="3"/>
      <c r="E103" s="2"/>
      <c r="F103" s="2"/>
      <c r="G103" s="2"/>
      <c r="H103" s="2"/>
      <c r="I103" s="3"/>
      <c r="J103" s="10"/>
      <c r="K103" s="2"/>
      <c r="L103" s="2"/>
      <c r="M103" s="2"/>
      <c r="N103" s="2"/>
      <c r="O103" s="2"/>
      <c r="P103" s="2"/>
      <c r="Q103" s="2"/>
      <c r="R103" s="2"/>
      <c r="S103" s="2"/>
      <c r="T103" s="11">
        <f>COUNTIF('07_상품상세_데이터'!$A$4:$A$103,A103)</f>
        <v>0</v>
      </c>
      <c r="U103" s="11">
        <f>SUMIF('07_상품상세_데이터'!$A$4:$A$103,A103,'07_상품상세_데이터'!$F$4:$F$103)</f>
        <v>0</v>
      </c>
      <c r="V103" s="2"/>
      <c r="W103" s="10"/>
      <c r="X103" s="10"/>
      <c r="Y103" s="2"/>
      <c r="Z103" s="2"/>
    </row>
    <row r="104" spans="1:26">
      <c r="A104" s="2"/>
      <c r="B104" s="2"/>
      <c r="C104" s="2"/>
      <c r="D104" s="3"/>
      <c r="E104" s="2"/>
      <c r="F104" s="2"/>
      <c r="G104" s="2"/>
      <c r="H104" s="2"/>
      <c r="I104" s="3"/>
      <c r="J104" s="10"/>
      <c r="K104" s="2"/>
      <c r="L104" s="2"/>
      <c r="M104" s="2"/>
      <c r="N104" s="2"/>
      <c r="O104" s="2"/>
      <c r="P104" s="2"/>
      <c r="Q104" s="2"/>
      <c r="R104" s="2"/>
      <c r="S104" s="2"/>
      <c r="T104" s="11">
        <f>COUNTIF('07_상품상세_데이터'!$A$4:$A$103,A104)</f>
        <v>0</v>
      </c>
      <c r="U104" s="11">
        <f>SUMIF('07_상품상세_데이터'!$A$4:$A$103,A104,'07_상품상세_데이터'!$F$4:$F$103)</f>
        <v>0</v>
      </c>
      <c r="V104" s="2"/>
      <c r="W104" s="10"/>
      <c r="X104" s="10"/>
      <c r="Y104" s="2"/>
      <c r="Z104" s="2"/>
    </row>
    <row r="105" spans="1:26">
      <c r="A105" s="2"/>
      <c r="B105" s="2"/>
      <c r="C105" s="2"/>
      <c r="D105" s="3"/>
      <c r="E105" s="2"/>
      <c r="F105" s="2"/>
      <c r="G105" s="2"/>
      <c r="H105" s="2"/>
      <c r="I105" s="3"/>
      <c r="J105" s="10"/>
      <c r="K105" s="2"/>
      <c r="L105" s="2"/>
      <c r="M105" s="2"/>
      <c r="N105" s="2"/>
      <c r="O105" s="2"/>
      <c r="P105" s="2"/>
      <c r="Q105" s="2"/>
      <c r="R105" s="2"/>
      <c r="S105" s="2"/>
      <c r="T105" s="11">
        <f>COUNTIF('07_상품상세_데이터'!$A$4:$A$103,A105)</f>
        <v>0</v>
      </c>
      <c r="U105" s="11">
        <f>SUMIF('07_상품상세_데이터'!$A$4:$A$103,A105,'07_상품상세_데이터'!$F$4:$F$103)</f>
        <v>0</v>
      </c>
      <c r="V105" s="2"/>
      <c r="W105" s="10"/>
      <c r="X105" s="10"/>
      <c r="Y105" s="2"/>
      <c r="Z105" s="2"/>
    </row>
  </sheetData>
  <mergeCells count="4">
    <mergeCell ref="A1:Z1"/>
    <mergeCell ref="M4:N4"/>
    <mergeCell ref="K4:L4"/>
    <mergeCell ref="F4:H4"/>
  </mergeCells>
  <phoneticPr fontId="7" type="noConversion"/>
  <dataValidations count="3">
    <dataValidation type="list" sqref="B6:B105" xr:uid="{00000000-0002-0000-0600-000000000000}">
      <formula1>"접수,검토중,출력완료,발송대기,발송완료,취소"</formula1>
    </dataValidation>
    <dataValidation type="list" sqref="C6:C105" xr:uid="{00000000-0002-0000-0600-000001000000}">
      <formula1>"택배,배달"</formula1>
    </dataValidation>
    <dataValidation type="list" sqref="Q6:R105" xr:uid="{00000000-0002-0000-0600-000002000000}">
      <formula1>"유,무"</formula1>
    </dataValidation>
  </dataValidations>
  <pageMargins left="0.16" right="0.16" top="0.75" bottom="0.75" header="0.3" footer="0.3"/>
  <pageSetup paperSize="9" scale="2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K103"/>
  <sheetViews>
    <sheetView showGridLines="0" workbookViewId="0">
      <selection activeCell="G16" sqref="G16"/>
    </sheetView>
  </sheetViews>
  <sheetFormatPr defaultRowHeight="14.25"/>
  <cols>
    <col min="1" max="1" width="18" customWidth="1"/>
    <col min="2" max="2" width="8" customWidth="1"/>
    <col min="3" max="3" width="10.375" customWidth="1"/>
    <col min="4" max="4" width="9.875" customWidth="1"/>
    <col min="5" max="5" width="9.625" customWidth="1"/>
    <col min="6" max="6" width="9.25" customWidth="1"/>
    <col min="7" max="7" width="12.25" customWidth="1"/>
    <col min="8" max="8" width="9.75" customWidth="1"/>
    <col min="9" max="9" width="9.625" customWidth="1"/>
    <col min="10" max="10" width="8.75" customWidth="1"/>
    <col min="11" max="11" width="15.625" customWidth="1"/>
  </cols>
  <sheetData>
    <row r="1" spans="1:11" ht="15">
      <c r="A1" s="1" t="s">
        <v>437</v>
      </c>
      <c r="B1" s="1" t="s">
        <v>437</v>
      </c>
      <c r="C1" s="1"/>
      <c r="D1" s="1" t="s">
        <v>437</v>
      </c>
      <c r="E1" s="1" t="s">
        <v>437</v>
      </c>
      <c r="F1" s="1" t="s">
        <v>437</v>
      </c>
      <c r="G1" s="1" t="s">
        <v>437</v>
      </c>
      <c r="H1" s="1" t="s">
        <v>437</v>
      </c>
      <c r="I1" s="1" t="s">
        <v>437</v>
      </c>
      <c r="J1" s="1" t="s">
        <v>437</v>
      </c>
      <c r="K1" s="1" t="s">
        <v>437</v>
      </c>
    </row>
    <row r="3" spans="1:11" ht="30">
      <c r="A3" s="7" t="s">
        <v>338</v>
      </c>
      <c r="B3" s="7" t="s">
        <v>377</v>
      </c>
      <c r="C3" s="16" t="s">
        <v>519</v>
      </c>
      <c r="D3" s="7" t="s">
        <v>438</v>
      </c>
      <c r="E3" s="7" t="s">
        <v>439</v>
      </c>
      <c r="F3" s="7" t="s">
        <v>440</v>
      </c>
      <c r="G3" s="7" t="s">
        <v>441</v>
      </c>
      <c r="H3" s="7" t="s">
        <v>442</v>
      </c>
      <c r="I3" s="7" t="s">
        <v>443</v>
      </c>
      <c r="J3" s="7" t="s">
        <v>444</v>
      </c>
      <c r="K3" s="7" t="s">
        <v>47</v>
      </c>
    </row>
    <row r="4" spans="1:11">
      <c r="A4" s="2" t="s">
        <v>417</v>
      </c>
      <c r="B4" s="11">
        <v>1</v>
      </c>
      <c r="C4" s="11"/>
      <c r="D4" s="2"/>
      <c r="E4" s="2" t="s">
        <v>445</v>
      </c>
      <c r="F4" s="11">
        <v>300</v>
      </c>
      <c r="G4" s="2" t="s">
        <v>446</v>
      </c>
      <c r="H4" s="11"/>
      <c r="I4" s="11" t="str">
        <f t="shared" ref="I4:I35" si="0">IF(AND(F4&lt;&gt;"",H4&lt;&gt;""),F4*H4,"")</f>
        <v/>
      </c>
      <c r="J4" s="2" t="s">
        <v>447</v>
      </c>
      <c r="K4" s="2" t="s">
        <v>427</v>
      </c>
    </row>
    <row r="5" spans="1:11">
      <c r="A5" s="2" t="s">
        <v>417</v>
      </c>
      <c r="B5" s="11">
        <v>2</v>
      </c>
      <c r="C5" s="11"/>
      <c r="D5" s="2"/>
      <c r="E5" s="2" t="s">
        <v>448</v>
      </c>
      <c r="F5" s="11">
        <v>200</v>
      </c>
      <c r="G5" s="2" t="s">
        <v>446</v>
      </c>
      <c r="H5" s="11"/>
      <c r="I5" s="11" t="str">
        <f t="shared" si="0"/>
        <v/>
      </c>
      <c r="J5" s="2" t="s">
        <v>447</v>
      </c>
      <c r="K5" s="2" t="s">
        <v>427</v>
      </c>
    </row>
    <row r="6" spans="1:11">
      <c r="A6" s="2" t="s">
        <v>428</v>
      </c>
      <c r="B6" s="11">
        <v>1</v>
      </c>
      <c r="C6" s="11"/>
      <c r="D6" s="2"/>
      <c r="E6" s="2" t="s">
        <v>449</v>
      </c>
      <c r="F6" s="11">
        <v>100</v>
      </c>
      <c r="G6" s="2" t="s">
        <v>436</v>
      </c>
      <c r="H6" s="11"/>
      <c r="I6" s="11" t="str">
        <f t="shared" si="0"/>
        <v/>
      </c>
      <c r="J6" s="2" t="s">
        <v>450</v>
      </c>
      <c r="K6" s="2" t="s">
        <v>427</v>
      </c>
    </row>
    <row r="7" spans="1:11">
      <c r="A7" s="2" t="s">
        <v>428</v>
      </c>
      <c r="B7" s="11">
        <v>2</v>
      </c>
      <c r="C7" s="11"/>
      <c r="D7" s="2"/>
      <c r="E7" s="2" t="s">
        <v>451</v>
      </c>
      <c r="F7" s="11">
        <v>50</v>
      </c>
      <c r="G7" s="2"/>
      <c r="H7" s="11"/>
      <c r="I7" s="11" t="str">
        <f t="shared" si="0"/>
        <v/>
      </c>
      <c r="J7" s="2" t="s">
        <v>450</v>
      </c>
      <c r="K7" s="2" t="s">
        <v>427</v>
      </c>
    </row>
    <row r="8" spans="1:11">
      <c r="A8" s="2"/>
      <c r="B8" s="11"/>
      <c r="C8" s="11"/>
      <c r="D8" s="2"/>
      <c r="E8" s="2"/>
      <c r="F8" s="11"/>
      <c r="G8" s="2"/>
      <c r="H8" s="11"/>
      <c r="I8" s="11" t="str">
        <f t="shared" si="0"/>
        <v/>
      </c>
      <c r="J8" s="2"/>
      <c r="K8" s="2"/>
    </row>
    <row r="9" spans="1:11">
      <c r="A9" s="2"/>
      <c r="B9" s="11"/>
      <c r="C9" s="11"/>
      <c r="D9" s="2"/>
      <c r="E9" s="2"/>
      <c r="F9" s="11"/>
      <c r="G9" s="2"/>
      <c r="H9" s="11"/>
      <c r="I9" s="11" t="str">
        <f t="shared" si="0"/>
        <v/>
      </c>
      <c r="J9" s="2"/>
      <c r="K9" s="2"/>
    </row>
    <row r="10" spans="1:11">
      <c r="A10" s="2"/>
      <c r="B10" s="11"/>
      <c r="C10" s="11"/>
      <c r="D10" s="2"/>
      <c r="E10" s="2"/>
      <c r="F10" s="11"/>
      <c r="G10" s="2"/>
      <c r="H10" s="11"/>
      <c r="I10" s="11" t="str">
        <f t="shared" si="0"/>
        <v/>
      </c>
      <c r="J10" s="2"/>
      <c r="K10" s="2"/>
    </row>
    <row r="11" spans="1:11">
      <c r="A11" s="2"/>
      <c r="B11" s="11"/>
      <c r="C11" s="11"/>
      <c r="D11" s="2"/>
      <c r="E11" s="2"/>
      <c r="F11" s="11"/>
      <c r="G11" s="2"/>
      <c r="H11" s="11"/>
      <c r="I11" s="11" t="str">
        <f t="shared" si="0"/>
        <v/>
      </c>
      <c r="J11" s="2"/>
      <c r="K11" s="2"/>
    </row>
    <row r="12" spans="1:11">
      <c r="A12" s="2"/>
      <c r="B12" s="11"/>
      <c r="C12" s="11"/>
      <c r="D12" s="2"/>
      <c r="E12" s="2"/>
      <c r="F12" s="11"/>
      <c r="G12" s="2"/>
      <c r="H12" s="11"/>
      <c r="I12" s="11" t="str">
        <f t="shared" si="0"/>
        <v/>
      </c>
      <c r="J12" s="2"/>
      <c r="K12" s="2"/>
    </row>
    <row r="13" spans="1:11">
      <c r="A13" s="2"/>
      <c r="B13" s="11"/>
      <c r="C13" s="11"/>
      <c r="D13" s="2"/>
      <c r="E13" s="2"/>
      <c r="F13" s="11"/>
      <c r="G13" s="2"/>
      <c r="H13" s="11"/>
      <c r="I13" s="11" t="str">
        <f t="shared" si="0"/>
        <v/>
      </c>
      <c r="J13" s="2"/>
      <c r="K13" s="2"/>
    </row>
    <row r="14" spans="1:11">
      <c r="A14" s="2"/>
      <c r="B14" s="11"/>
      <c r="C14" s="11"/>
      <c r="D14" s="2"/>
      <c r="E14" s="2"/>
      <c r="F14" s="11"/>
      <c r="G14" s="2"/>
      <c r="H14" s="11"/>
      <c r="I14" s="11" t="str">
        <f t="shared" si="0"/>
        <v/>
      </c>
      <c r="J14" s="2"/>
      <c r="K14" s="2"/>
    </row>
    <row r="15" spans="1:11">
      <c r="A15" s="2"/>
      <c r="B15" s="11"/>
      <c r="C15" s="11"/>
      <c r="D15" s="2"/>
      <c r="E15" s="2"/>
      <c r="F15" s="11"/>
      <c r="G15" s="2"/>
      <c r="H15" s="11"/>
      <c r="I15" s="11" t="str">
        <f t="shared" si="0"/>
        <v/>
      </c>
      <c r="J15" s="2"/>
      <c r="K15" s="2"/>
    </row>
    <row r="16" spans="1:11">
      <c r="A16" s="2"/>
      <c r="B16" s="11"/>
      <c r="C16" s="11"/>
      <c r="D16" s="2"/>
      <c r="E16" s="2"/>
      <c r="F16" s="11"/>
      <c r="G16" s="2"/>
      <c r="H16" s="11"/>
      <c r="I16" s="11" t="str">
        <f t="shared" si="0"/>
        <v/>
      </c>
      <c r="J16" s="2"/>
      <c r="K16" s="2"/>
    </row>
    <row r="17" spans="1:11">
      <c r="A17" s="2"/>
      <c r="B17" s="11"/>
      <c r="C17" s="11"/>
      <c r="D17" s="2"/>
      <c r="E17" s="2"/>
      <c r="F17" s="11"/>
      <c r="G17" s="2"/>
      <c r="H17" s="11"/>
      <c r="I17" s="11" t="str">
        <f t="shared" si="0"/>
        <v/>
      </c>
      <c r="J17" s="2"/>
      <c r="K17" s="2"/>
    </row>
    <row r="18" spans="1:11">
      <c r="A18" s="2"/>
      <c r="B18" s="11"/>
      <c r="C18" s="11"/>
      <c r="D18" s="2"/>
      <c r="E18" s="2"/>
      <c r="F18" s="11"/>
      <c r="G18" s="2"/>
      <c r="H18" s="11"/>
      <c r="I18" s="11" t="str">
        <f t="shared" si="0"/>
        <v/>
      </c>
      <c r="J18" s="2"/>
      <c r="K18" s="2"/>
    </row>
    <row r="19" spans="1:11">
      <c r="A19" s="2"/>
      <c r="B19" s="11"/>
      <c r="C19" s="11"/>
      <c r="D19" s="2"/>
      <c r="E19" s="2"/>
      <c r="F19" s="11"/>
      <c r="G19" s="2"/>
      <c r="H19" s="11"/>
      <c r="I19" s="11" t="str">
        <f t="shared" si="0"/>
        <v/>
      </c>
      <c r="J19" s="2"/>
      <c r="K19" s="2"/>
    </row>
    <row r="20" spans="1:11">
      <c r="A20" s="2"/>
      <c r="B20" s="11"/>
      <c r="C20" s="11"/>
      <c r="D20" s="2"/>
      <c r="E20" s="2"/>
      <c r="F20" s="11"/>
      <c r="G20" s="2"/>
      <c r="H20" s="11"/>
      <c r="I20" s="11" t="str">
        <f t="shared" si="0"/>
        <v/>
      </c>
      <c r="J20" s="2"/>
      <c r="K20" s="2"/>
    </row>
    <row r="21" spans="1:11">
      <c r="A21" s="2"/>
      <c r="B21" s="11"/>
      <c r="C21" s="11"/>
      <c r="D21" s="2"/>
      <c r="E21" s="2"/>
      <c r="F21" s="11"/>
      <c r="G21" s="2"/>
      <c r="H21" s="11"/>
      <c r="I21" s="11" t="str">
        <f t="shared" si="0"/>
        <v/>
      </c>
      <c r="J21" s="2"/>
      <c r="K21" s="2"/>
    </row>
    <row r="22" spans="1:11">
      <c r="A22" s="2"/>
      <c r="B22" s="11"/>
      <c r="C22" s="11"/>
      <c r="D22" s="2"/>
      <c r="E22" s="2"/>
      <c r="F22" s="11"/>
      <c r="G22" s="2"/>
      <c r="H22" s="11"/>
      <c r="I22" s="11" t="str">
        <f t="shared" si="0"/>
        <v/>
      </c>
      <c r="J22" s="2"/>
      <c r="K22" s="2"/>
    </row>
    <row r="23" spans="1:11">
      <c r="A23" s="2"/>
      <c r="B23" s="11"/>
      <c r="C23" s="11"/>
      <c r="D23" s="2"/>
      <c r="E23" s="2"/>
      <c r="F23" s="11"/>
      <c r="G23" s="2"/>
      <c r="H23" s="11"/>
      <c r="I23" s="11" t="str">
        <f t="shared" si="0"/>
        <v/>
      </c>
      <c r="J23" s="2"/>
      <c r="K23" s="2"/>
    </row>
    <row r="24" spans="1:11">
      <c r="A24" s="2"/>
      <c r="B24" s="11"/>
      <c r="C24" s="11"/>
      <c r="D24" s="2"/>
      <c r="E24" s="2"/>
      <c r="F24" s="11"/>
      <c r="G24" s="2"/>
      <c r="H24" s="11"/>
      <c r="I24" s="11" t="str">
        <f t="shared" si="0"/>
        <v/>
      </c>
      <c r="J24" s="2"/>
      <c r="K24" s="2"/>
    </row>
    <row r="25" spans="1:11">
      <c r="A25" s="2"/>
      <c r="B25" s="11"/>
      <c r="C25" s="11"/>
      <c r="D25" s="2"/>
      <c r="E25" s="2"/>
      <c r="F25" s="11"/>
      <c r="G25" s="2"/>
      <c r="H25" s="11"/>
      <c r="I25" s="11" t="str">
        <f t="shared" si="0"/>
        <v/>
      </c>
      <c r="J25" s="2"/>
      <c r="K25" s="2"/>
    </row>
    <row r="26" spans="1:11">
      <c r="A26" s="2"/>
      <c r="B26" s="11"/>
      <c r="C26" s="11"/>
      <c r="D26" s="2"/>
      <c r="E26" s="2"/>
      <c r="F26" s="11"/>
      <c r="G26" s="2"/>
      <c r="H26" s="11"/>
      <c r="I26" s="11" t="str">
        <f t="shared" si="0"/>
        <v/>
      </c>
      <c r="J26" s="2"/>
      <c r="K26" s="2"/>
    </row>
    <row r="27" spans="1:11">
      <c r="A27" s="2"/>
      <c r="B27" s="11"/>
      <c r="C27" s="11"/>
      <c r="D27" s="2"/>
      <c r="E27" s="2"/>
      <c r="F27" s="11"/>
      <c r="G27" s="2"/>
      <c r="H27" s="11"/>
      <c r="I27" s="11" t="str">
        <f t="shared" si="0"/>
        <v/>
      </c>
      <c r="J27" s="2"/>
      <c r="K27" s="2"/>
    </row>
    <row r="28" spans="1:11">
      <c r="A28" s="2"/>
      <c r="B28" s="11"/>
      <c r="C28" s="11"/>
      <c r="D28" s="2"/>
      <c r="E28" s="2"/>
      <c r="F28" s="11"/>
      <c r="G28" s="2"/>
      <c r="H28" s="11"/>
      <c r="I28" s="11" t="str">
        <f t="shared" si="0"/>
        <v/>
      </c>
      <c r="J28" s="2"/>
      <c r="K28" s="2"/>
    </row>
    <row r="29" spans="1:11">
      <c r="A29" s="2"/>
      <c r="B29" s="11"/>
      <c r="C29" s="11"/>
      <c r="D29" s="2"/>
      <c r="E29" s="2"/>
      <c r="F29" s="11"/>
      <c r="G29" s="2"/>
      <c r="H29" s="11"/>
      <c r="I29" s="11" t="str">
        <f t="shared" si="0"/>
        <v/>
      </c>
      <c r="J29" s="2"/>
      <c r="K29" s="2"/>
    </row>
    <row r="30" spans="1:11">
      <c r="A30" s="2"/>
      <c r="B30" s="11"/>
      <c r="C30" s="11"/>
      <c r="D30" s="2"/>
      <c r="E30" s="2"/>
      <c r="F30" s="11"/>
      <c r="G30" s="2"/>
      <c r="H30" s="11"/>
      <c r="I30" s="11" t="str">
        <f t="shared" si="0"/>
        <v/>
      </c>
      <c r="J30" s="2"/>
      <c r="K30" s="2"/>
    </row>
    <row r="31" spans="1:11">
      <c r="A31" s="2"/>
      <c r="B31" s="11"/>
      <c r="C31" s="11"/>
      <c r="D31" s="2"/>
      <c r="E31" s="2"/>
      <c r="F31" s="11"/>
      <c r="G31" s="2"/>
      <c r="H31" s="11"/>
      <c r="I31" s="11" t="str">
        <f t="shared" si="0"/>
        <v/>
      </c>
      <c r="J31" s="2"/>
      <c r="K31" s="2"/>
    </row>
    <row r="32" spans="1:11">
      <c r="A32" s="2"/>
      <c r="B32" s="11"/>
      <c r="C32" s="11"/>
      <c r="D32" s="2"/>
      <c r="E32" s="2"/>
      <c r="F32" s="11"/>
      <c r="G32" s="2"/>
      <c r="H32" s="11"/>
      <c r="I32" s="11" t="str">
        <f t="shared" si="0"/>
        <v/>
      </c>
      <c r="J32" s="2"/>
      <c r="K32" s="2"/>
    </row>
    <row r="33" spans="1:11">
      <c r="A33" s="2"/>
      <c r="B33" s="11"/>
      <c r="C33" s="11"/>
      <c r="D33" s="2"/>
      <c r="E33" s="2"/>
      <c r="F33" s="11"/>
      <c r="G33" s="2"/>
      <c r="H33" s="11"/>
      <c r="I33" s="11" t="str">
        <f t="shared" si="0"/>
        <v/>
      </c>
      <c r="J33" s="2"/>
      <c r="K33" s="2"/>
    </row>
    <row r="34" spans="1:11">
      <c r="A34" s="2"/>
      <c r="B34" s="11"/>
      <c r="C34" s="11"/>
      <c r="D34" s="2"/>
      <c r="E34" s="2"/>
      <c r="F34" s="11"/>
      <c r="G34" s="2"/>
      <c r="H34" s="11"/>
      <c r="I34" s="11" t="str">
        <f t="shared" si="0"/>
        <v/>
      </c>
      <c r="J34" s="2"/>
      <c r="K34" s="2"/>
    </row>
    <row r="35" spans="1:11">
      <c r="A35" s="2"/>
      <c r="B35" s="11"/>
      <c r="C35" s="11"/>
      <c r="D35" s="2"/>
      <c r="E35" s="2"/>
      <c r="F35" s="11"/>
      <c r="G35" s="2"/>
      <c r="H35" s="11"/>
      <c r="I35" s="11" t="str">
        <f t="shared" si="0"/>
        <v/>
      </c>
      <c r="J35" s="2"/>
      <c r="K35" s="2"/>
    </row>
    <row r="36" spans="1:11">
      <c r="A36" s="2"/>
      <c r="B36" s="11"/>
      <c r="C36" s="11"/>
      <c r="D36" s="2"/>
      <c r="E36" s="2"/>
      <c r="F36" s="11"/>
      <c r="G36" s="2"/>
      <c r="H36" s="11"/>
      <c r="I36" s="11" t="str">
        <f t="shared" ref="I36:I67" si="1">IF(AND(F36&lt;&gt;"",H36&lt;&gt;""),F36*H36,"")</f>
        <v/>
      </c>
      <c r="J36" s="2"/>
      <c r="K36" s="2"/>
    </row>
    <row r="37" spans="1:11">
      <c r="A37" s="2"/>
      <c r="B37" s="11"/>
      <c r="C37" s="11"/>
      <c r="D37" s="2"/>
      <c r="E37" s="2"/>
      <c r="F37" s="11"/>
      <c r="G37" s="2"/>
      <c r="H37" s="11"/>
      <c r="I37" s="11" t="str">
        <f t="shared" si="1"/>
        <v/>
      </c>
      <c r="J37" s="2"/>
      <c r="K37" s="2"/>
    </row>
    <row r="38" spans="1:11">
      <c r="A38" s="2"/>
      <c r="B38" s="11"/>
      <c r="C38" s="11"/>
      <c r="D38" s="2"/>
      <c r="E38" s="2"/>
      <c r="F38" s="11"/>
      <c r="G38" s="2"/>
      <c r="H38" s="11"/>
      <c r="I38" s="11" t="str">
        <f t="shared" si="1"/>
        <v/>
      </c>
      <c r="J38" s="2"/>
      <c r="K38" s="2"/>
    </row>
    <row r="39" spans="1:11">
      <c r="A39" s="2"/>
      <c r="B39" s="11"/>
      <c r="C39" s="11"/>
      <c r="D39" s="2"/>
      <c r="E39" s="2"/>
      <c r="F39" s="11"/>
      <c r="G39" s="2"/>
      <c r="H39" s="11"/>
      <c r="I39" s="11" t="str">
        <f t="shared" si="1"/>
        <v/>
      </c>
      <c r="J39" s="2"/>
      <c r="K39" s="2"/>
    </row>
    <row r="40" spans="1:11">
      <c r="A40" s="2"/>
      <c r="B40" s="11"/>
      <c r="C40" s="11"/>
      <c r="D40" s="2"/>
      <c r="E40" s="2"/>
      <c r="F40" s="11"/>
      <c r="G40" s="2"/>
      <c r="H40" s="11"/>
      <c r="I40" s="11" t="str">
        <f t="shared" si="1"/>
        <v/>
      </c>
      <c r="J40" s="2"/>
      <c r="K40" s="2"/>
    </row>
    <row r="41" spans="1:11">
      <c r="A41" s="2"/>
      <c r="B41" s="11"/>
      <c r="C41" s="11"/>
      <c r="D41" s="2"/>
      <c r="E41" s="2"/>
      <c r="F41" s="11"/>
      <c r="G41" s="2"/>
      <c r="H41" s="11"/>
      <c r="I41" s="11" t="str">
        <f t="shared" si="1"/>
        <v/>
      </c>
      <c r="J41" s="2"/>
      <c r="K41" s="2"/>
    </row>
    <row r="42" spans="1:11">
      <c r="A42" s="2"/>
      <c r="B42" s="11"/>
      <c r="C42" s="11"/>
      <c r="D42" s="2"/>
      <c r="E42" s="2"/>
      <c r="F42" s="11"/>
      <c r="G42" s="2"/>
      <c r="H42" s="11"/>
      <c r="I42" s="11" t="str">
        <f t="shared" si="1"/>
        <v/>
      </c>
      <c r="J42" s="2"/>
      <c r="K42" s="2"/>
    </row>
    <row r="43" spans="1:11">
      <c r="A43" s="2"/>
      <c r="B43" s="11"/>
      <c r="C43" s="11"/>
      <c r="D43" s="2"/>
      <c r="E43" s="2"/>
      <c r="F43" s="11"/>
      <c r="G43" s="2"/>
      <c r="H43" s="11"/>
      <c r="I43" s="11" t="str">
        <f t="shared" si="1"/>
        <v/>
      </c>
      <c r="J43" s="2"/>
      <c r="K43" s="2"/>
    </row>
    <row r="44" spans="1:11">
      <c r="A44" s="2"/>
      <c r="B44" s="11"/>
      <c r="C44" s="11"/>
      <c r="D44" s="2"/>
      <c r="E44" s="2"/>
      <c r="F44" s="11"/>
      <c r="G44" s="2"/>
      <c r="H44" s="11"/>
      <c r="I44" s="11" t="str">
        <f t="shared" si="1"/>
        <v/>
      </c>
      <c r="J44" s="2"/>
      <c r="K44" s="2"/>
    </row>
    <row r="45" spans="1:11">
      <c r="A45" s="2"/>
      <c r="B45" s="11"/>
      <c r="C45" s="11"/>
      <c r="D45" s="2"/>
      <c r="E45" s="2"/>
      <c r="F45" s="11"/>
      <c r="G45" s="2"/>
      <c r="H45" s="11"/>
      <c r="I45" s="11" t="str">
        <f t="shared" si="1"/>
        <v/>
      </c>
      <c r="J45" s="2"/>
      <c r="K45" s="2"/>
    </row>
    <row r="46" spans="1:11">
      <c r="A46" s="2"/>
      <c r="B46" s="11"/>
      <c r="C46" s="11"/>
      <c r="D46" s="2"/>
      <c r="E46" s="2"/>
      <c r="F46" s="11"/>
      <c r="G46" s="2"/>
      <c r="H46" s="11"/>
      <c r="I46" s="11" t="str">
        <f t="shared" si="1"/>
        <v/>
      </c>
      <c r="J46" s="2"/>
      <c r="K46" s="2"/>
    </row>
    <row r="47" spans="1:11">
      <c r="A47" s="2"/>
      <c r="B47" s="11"/>
      <c r="C47" s="11"/>
      <c r="D47" s="2"/>
      <c r="E47" s="2"/>
      <c r="F47" s="11"/>
      <c r="G47" s="2"/>
      <c r="H47" s="11"/>
      <c r="I47" s="11" t="str">
        <f t="shared" si="1"/>
        <v/>
      </c>
      <c r="J47" s="2"/>
      <c r="K47" s="2"/>
    </row>
    <row r="48" spans="1:11">
      <c r="A48" s="2"/>
      <c r="B48" s="11"/>
      <c r="C48" s="11"/>
      <c r="D48" s="2"/>
      <c r="E48" s="2"/>
      <c r="F48" s="11"/>
      <c r="G48" s="2"/>
      <c r="H48" s="11"/>
      <c r="I48" s="11" t="str">
        <f t="shared" si="1"/>
        <v/>
      </c>
      <c r="J48" s="2"/>
      <c r="K48" s="2"/>
    </row>
    <row r="49" spans="1:11">
      <c r="A49" s="2"/>
      <c r="B49" s="11"/>
      <c r="C49" s="11"/>
      <c r="D49" s="2"/>
      <c r="E49" s="2"/>
      <c r="F49" s="11"/>
      <c r="G49" s="2"/>
      <c r="H49" s="11"/>
      <c r="I49" s="11" t="str">
        <f t="shared" si="1"/>
        <v/>
      </c>
      <c r="J49" s="2"/>
      <c r="K49" s="2"/>
    </row>
    <row r="50" spans="1:11">
      <c r="A50" s="2"/>
      <c r="B50" s="11"/>
      <c r="C50" s="11"/>
      <c r="D50" s="2"/>
      <c r="E50" s="2"/>
      <c r="F50" s="11"/>
      <c r="G50" s="2"/>
      <c r="H50" s="11"/>
      <c r="I50" s="11" t="str">
        <f t="shared" si="1"/>
        <v/>
      </c>
      <c r="J50" s="2"/>
      <c r="K50" s="2"/>
    </row>
    <row r="51" spans="1:11">
      <c r="A51" s="2"/>
      <c r="B51" s="11"/>
      <c r="C51" s="11"/>
      <c r="D51" s="2"/>
      <c r="E51" s="2"/>
      <c r="F51" s="11"/>
      <c r="G51" s="2"/>
      <c r="H51" s="11"/>
      <c r="I51" s="11" t="str">
        <f t="shared" si="1"/>
        <v/>
      </c>
      <c r="J51" s="2"/>
      <c r="K51" s="2"/>
    </row>
    <row r="52" spans="1:11">
      <c r="A52" s="2"/>
      <c r="B52" s="11"/>
      <c r="C52" s="11"/>
      <c r="D52" s="2"/>
      <c r="E52" s="2"/>
      <c r="F52" s="11"/>
      <c r="G52" s="2"/>
      <c r="H52" s="11"/>
      <c r="I52" s="11" t="str">
        <f t="shared" si="1"/>
        <v/>
      </c>
      <c r="J52" s="2"/>
      <c r="K52" s="2"/>
    </row>
    <row r="53" spans="1:11">
      <c r="A53" s="2"/>
      <c r="B53" s="11"/>
      <c r="C53" s="11"/>
      <c r="D53" s="2"/>
      <c r="E53" s="2"/>
      <c r="F53" s="11"/>
      <c r="G53" s="2"/>
      <c r="H53" s="11"/>
      <c r="I53" s="11" t="str">
        <f t="shared" si="1"/>
        <v/>
      </c>
      <c r="J53" s="2"/>
      <c r="K53" s="2"/>
    </row>
    <row r="54" spans="1:11">
      <c r="A54" s="2"/>
      <c r="B54" s="11"/>
      <c r="C54" s="11"/>
      <c r="D54" s="2"/>
      <c r="E54" s="2"/>
      <c r="F54" s="11"/>
      <c r="G54" s="2"/>
      <c r="H54" s="11"/>
      <c r="I54" s="11" t="str">
        <f t="shared" si="1"/>
        <v/>
      </c>
      <c r="J54" s="2"/>
      <c r="K54" s="2"/>
    </row>
    <row r="55" spans="1:11">
      <c r="A55" s="2"/>
      <c r="B55" s="11"/>
      <c r="C55" s="11"/>
      <c r="D55" s="2"/>
      <c r="E55" s="2"/>
      <c r="F55" s="11"/>
      <c r="G55" s="2"/>
      <c r="H55" s="11"/>
      <c r="I55" s="11" t="str">
        <f t="shared" si="1"/>
        <v/>
      </c>
      <c r="J55" s="2"/>
      <c r="K55" s="2"/>
    </row>
    <row r="56" spans="1:11">
      <c r="A56" s="2"/>
      <c r="B56" s="11"/>
      <c r="C56" s="11"/>
      <c r="D56" s="2"/>
      <c r="E56" s="2"/>
      <c r="F56" s="11"/>
      <c r="G56" s="2"/>
      <c r="H56" s="11"/>
      <c r="I56" s="11" t="str">
        <f t="shared" si="1"/>
        <v/>
      </c>
      <c r="J56" s="2"/>
      <c r="K56" s="2"/>
    </row>
    <row r="57" spans="1:11">
      <c r="A57" s="2"/>
      <c r="B57" s="11"/>
      <c r="C57" s="11"/>
      <c r="D57" s="2"/>
      <c r="E57" s="2"/>
      <c r="F57" s="11"/>
      <c r="G57" s="2"/>
      <c r="H57" s="11"/>
      <c r="I57" s="11" t="str">
        <f t="shared" si="1"/>
        <v/>
      </c>
      <c r="J57" s="2"/>
      <c r="K57" s="2"/>
    </row>
    <row r="58" spans="1:11">
      <c r="A58" s="2"/>
      <c r="B58" s="11"/>
      <c r="C58" s="11"/>
      <c r="D58" s="2"/>
      <c r="E58" s="2"/>
      <c r="F58" s="11"/>
      <c r="G58" s="2"/>
      <c r="H58" s="11"/>
      <c r="I58" s="11" t="str">
        <f t="shared" si="1"/>
        <v/>
      </c>
      <c r="J58" s="2"/>
      <c r="K58" s="2"/>
    </row>
    <row r="59" spans="1:11">
      <c r="A59" s="2"/>
      <c r="B59" s="11"/>
      <c r="C59" s="11"/>
      <c r="D59" s="2"/>
      <c r="E59" s="2"/>
      <c r="F59" s="11"/>
      <c r="G59" s="2"/>
      <c r="H59" s="11"/>
      <c r="I59" s="11" t="str">
        <f t="shared" si="1"/>
        <v/>
      </c>
      <c r="J59" s="2"/>
      <c r="K59" s="2"/>
    </row>
    <row r="60" spans="1:11">
      <c r="A60" s="2"/>
      <c r="B60" s="11"/>
      <c r="C60" s="11"/>
      <c r="D60" s="2"/>
      <c r="E60" s="2"/>
      <c r="F60" s="11"/>
      <c r="G60" s="2"/>
      <c r="H60" s="11"/>
      <c r="I60" s="11" t="str">
        <f t="shared" si="1"/>
        <v/>
      </c>
      <c r="J60" s="2"/>
      <c r="K60" s="2"/>
    </row>
    <row r="61" spans="1:11">
      <c r="A61" s="2"/>
      <c r="B61" s="11"/>
      <c r="C61" s="11"/>
      <c r="D61" s="2"/>
      <c r="E61" s="2"/>
      <c r="F61" s="11"/>
      <c r="G61" s="2"/>
      <c r="H61" s="11"/>
      <c r="I61" s="11" t="str">
        <f t="shared" si="1"/>
        <v/>
      </c>
      <c r="J61" s="2"/>
      <c r="K61" s="2"/>
    </row>
    <row r="62" spans="1:11">
      <c r="A62" s="2"/>
      <c r="B62" s="11"/>
      <c r="C62" s="11"/>
      <c r="D62" s="2"/>
      <c r="E62" s="2"/>
      <c r="F62" s="11"/>
      <c r="G62" s="2"/>
      <c r="H62" s="11"/>
      <c r="I62" s="11" t="str">
        <f t="shared" si="1"/>
        <v/>
      </c>
      <c r="J62" s="2"/>
      <c r="K62" s="2"/>
    </row>
    <row r="63" spans="1:11">
      <c r="A63" s="2"/>
      <c r="B63" s="11"/>
      <c r="C63" s="11"/>
      <c r="D63" s="2"/>
      <c r="E63" s="2"/>
      <c r="F63" s="11"/>
      <c r="G63" s="2"/>
      <c r="H63" s="11"/>
      <c r="I63" s="11" t="str">
        <f t="shared" si="1"/>
        <v/>
      </c>
      <c r="J63" s="2"/>
      <c r="K63" s="2"/>
    </row>
    <row r="64" spans="1:11">
      <c r="A64" s="2"/>
      <c r="B64" s="11"/>
      <c r="C64" s="11"/>
      <c r="D64" s="2"/>
      <c r="E64" s="2"/>
      <c r="F64" s="11"/>
      <c r="G64" s="2"/>
      <c r="H64" s="11"/>
      <c r="I64" s="11" t="str">
        <f t="shared" si="1"/>
        <v/>
      </c>
      <c r="J64" s="2"/>
      <c r="K64" s="2"/>
    </row>
    <row r="65" spans="1:11">
      <c r="A65" s="2"/>
      <c r="B65" s="11"/>
      <c r="C65" s="11"/>
      <c r="D65" s="2"/>
      <c r="E65" s="2"/>
      <c r="F65" s="11"/>
      <c r="G65" s="2"/>
      <c r="H65" s="11"/>
      <c r="I65" s="11" t="str">
        <f t="shared" si="1"/>
        <v/>
      </c>
      <c r="J65" s="2"/>
      <c r="K65" s="2"/>
    </row>
    <row r="66" spans="1:11">
      <c r="A66" s="2"/>
      <c r="B66" s="11"/>
      <c r="C66" s="11"/>
      <c r="D66" s="2"/>
      <c r="E66" s="2"/>
      <c r="F66" s="11"/>
      <c r="G66" s="2"/>
      <c r="H66" s="11"/>
      <c r="I66" s="11" t="str">
        <f t="shared" si="1"/>
        <v/>
      </c>
      <c r="J66" s="2"/>
      <c r="K66" s="2"/>
    </row>
    <row r="67" spans="1:11">
      <c r="A67" s="2"/>
      <c r="B67" s="11"/>
      <c r="C67" s="11"/>
      <c r="D67" s="2"/>
      <c r="E67" s="2"/>
      <c r="F67" s="11"/>
      <c r="G67" s="2"/>
      <c r="H67" s="11"/>
      <c r="I67" s="11" t="str">
        <f t="shared" si="1"/>
        <v/>
      </c>
      <c r="J67" s="2"/>
      <c r="K67" s="2"/>
    </row>
    <row r="68" spans="1:11">
      <c r="A68" s="2"/>
      <c r="B68" s="11"/>
      <c r="C68" s="11"/>
      <c r="D68" s="2"/>
      <c r="E68" s="2"/>
      <c r="F68" s="11"/>
      <c r="G68" s="2"/>
      <c r="H68" s="11"/>
      <c r="I68" s="11" t="str">
        <f t="shared" ref="I68:I99" si="2">IF(AND(F68&lt;&gt;"",H68&lt;&gt;""),F68*H68,"")</f>
        <v/>
      </c>
      <c r="J68" s="2"/>
      <c r="K68" s="2"/>
    </row>
    <row r="69" spans="1:11">
      <c r="A69" s="2"/>
      <c r="B69" s="11"/>
      <c r="C69" s="11"/>
      <c r="D69" s="2"/>
      <c r="E69" s="2"/>
      <c r="F69" s="11"/>
      <c r="G69" s="2"/>
      <c r="H69" s="11"/>
      <c r="I69" s="11" t="str">
        <f t="shared" si="2"/>
        <v/>
      </c>
      <c r="J69" s="2"/>
      <c r="K69" s="2"/>
    </row>
    <row r="70" spans="1:11">
      <c r="A70" s="2"/>
      <c r="B70" s="11"/>
      <c r="C70" s="11"/>
      <c r="D70" s="2"/>
      <c r="E70" s="2"/>
      <c r="F70" s="11"/>
      <c r="G70" s="2"/>
      <c r="H70" s="11"/>
      <c r="I70" s="11" t="str">
        <f t="shared" si="2"/>
        <v/>
      </c>
      <c r="J70" s="2"/>
      <c r="K70" s="2"/>
    </row>
    <row r="71" spans="1:11">
      <c r="A71" s="2"/>
      <c r="B71" s="11"/>
      <c r="C71" s="11"/>
      <c r="D71" s="2"/>
      <c r="E71" s="2"/>
      <c r="F71" s="11"/>
      <c r="G71" s="2"/>
      <c r="H71" s="11"/>
      <c r="I71" s="11" t="str">
        <f t="shared" si="2"/>
        <v/>
      </c>
      <c r="J71" s="2"/>
      <c r="K71" s="2"/>
    </row>
    <row r="72" spans="1:11">
      <c r="A72" s="2"/>
      <c r="B72" s="11"/>
      <c r="C72" s="11"/>
      <c r="D72" s="2"/>
      <c r="E72" s="2"/>
      <c r="F72" s="11"/>
      <c r="G72" s="2"/>
      <c r="H72" s="11"/>
      <c r="I72" s="11" t="str">
        <f t="shared" si="2"/>
        <v/>
      </c>
      <c r="J72" s="2"/>
      <c r="K72" s="2"/>
    </row>
    <row r="73" spans="1:11">
      <c r="A73" s="2"/>
      <c r="B73" s="11"/>
      <c r="C73" s="11"/>
      <c r="D73" s="2"/>
      <c r="E73" s="2"/>
      <c r="F73" s="11"/>
      <c r="G73" s="2"/>
      <c r="H73" s="11"/>
      <c r="I73" s="11" t="str">
        <f t="shared" si="2"/>
        <v/>
      </c>
      <c r="J73" s="2"/>
      <c r="K73" s="2"/>
    </row>
    <row r="74" spans="1:11">
      <c r="A74" s="2"/>
      <c r="B74" s="11"/>
      <c r="C74" s="11"/>
      <c r="D74" s="2"/>
      <c r="E74" s="2"/>
      <c r="F74" s="11"/>
      <c r="G74" s="2"/>
      <c r="H74" s="11"/>
      <c r="I74" s="11" t="str">
        <f t="shared" si="2"/>
        <v/>
      </c>
      <c r="J74" s="2"/>
      <c r="K74" s="2"/>
    </row>
    <row r="75" spans="1:11">
      <c r="A75" s="2"/>
      <c r="B75" s="11"/>
      <c r="C75" s="11"/>
      <c r="D75" s="2"/>
      <c r="E75" s="2"/>
      <c r="F75" s="11"/>
      <c r="G75" s="2"/>
      <c r="H75" s="11"/>
      <c r="I75" s="11" t="str">
        <f t="shared" si="2"/>
        <v/>
      </c>
      <c r="J75" s="2"/>
      <c r="K75" s="2"/>
    </row>
    <row r="76" spans="1:11">
      <c r="A76" s="2"/>
      <c r="B76" s="11"/>
      <c r="C76" s="11"/>
      <c r="D76" s="2"/>
      <c r="E76" s="2"/>
      <c r="F76" s="11"/>
      <c r="G76" s="2"/>
      <c r="H76" s="11"/>
      <c r="I76" s="11" t="str">
        <f t="shared" si="2"/>
        <v/>
      </c>
      <c r="J76" s="2"/>
      <c r="K76" s="2"/>
    </row>
    <row r="77" spans="1:11">
      <c r="A77" s="2"/>
      <c r="B77" s="11"/>
      <c r="C77" s="11"/>
      <c r="D77" s="2"/>
      <c r="E77" s="2"/>
      <c r="F77" s="11"/>
      <c r="G77" s="2"/>
      <c r="H77" s="11"/>
      <c r="I77" s="11" t="str">
        <f t="shared" si="2"/>
        <v/>
      </c>
      <c r="J77" s="2"/>
      <c r="K77" s="2"/>
    </row>
    <row r="78" spans="1:11">
      <c r="A78" s="2"/>
      <c r="B78" s="11"/>
      <c r="C78" s="11"/>
      <c r="D78" s="2"/>
      <c r="E78" s="2"/>
      <c r="F78" s="11"/>
      <c r="G78" s="2"/>
      <c r="H78" s="11"/>
      <c r="I78" s="11" t="str">
        <f t="shared" si="2"/>
        <v/>
      </c>
      <c r="J78" s="2"/>
      <c r="K78" s="2"/>
    </row>
    <row r="79" spans="1:11">
      <c r="A79" s="2"/>
      <c r="B79" s="11"/>
      <c r="C79" s="11"/>
      <c r="D79" s="2"/>
      <c r="E79" s="2"/>
      <c r="F79" s="11"/>
      <c r="G79" s="2"/>
      <c r="H79" s="11"/>
      <c r="I79" s="11" t="str">
        <f t="shared" si="2"/>
        <v/>
      </c>
      <c r="J79" s="2"/>
      <c r="K79" s="2"/>
    </row>
    <row r="80" spans="1:11">
      <c r="A80" s="2"/>
      <c r="B80" s="11"/>
      <c r="C80" s="11"/>
      <c r="D80" s="2"/>
      <c r="E80" s="2"/>
      <c r="F80" s="11"/>
      <c r="G80" s="2"/>
      <c r="H80" s="11"/>
      <c r="I80" s="11" t="str">
        <f t="shared" si="2"/>
        <v/>
      </c>
      <c r="J80" s="2"/>
      <c r="K80" s="2"/>
    </row>
    <row r="81" spans="1:11">
      <c r="A81" s="2"/>
      <c r="B81" s="11"/>
      <c r="C81" s="11"/>
      <c r="D81" s="2"/>
      <c r="E81" s="2"/>
      <c r="F81" s="11"/>
      <c r="G81" s="2"/>
      <c r="H81" s="11"/>
      <c r="I81" s="11" t="str">
        <f t="shared" si="2"/>
        <v/>
      </c>
      <c r="J81" s="2"/>
      <c r="K81" s="2"/>
    </row>
    <row r="82" spans="1:11">
      <c r="A82" s="2"/>
      <c r="B82" s="11"/>
      <c r="C82" s="11"/>
      <c r="D82" s="2"/>
      <c r="E82" s="2"/>
      <c r="F82" s="11"/>
      <c r="G82" s="2"/>
      <c r="H82" s="11"/>
      <c r="I82" s="11" t="str">
        <f t="shared" si="2"/>
        <v/>
      </c>
      <c r="J82" s="2"/>
      <c r="K82" s="2"/>
    </row>
    <row r="83" spans="1:11">
      <c r="A83" s="2"/>
      <c r="B83" s="11"/>
      <c r="C83" s="11"/>
      <c r="D83" s="2"/>
      <c r="E83" s="2"/>
      <c r="F83" s="11"/>
      <c r="G83" s="2"/>
      <c r="H83" s="11"/>
      <c r="I83" s="11" t="str">
        <f t="shared" si="2"/>
        <v/>
      </c>
      <c r="J83" s="2"/>
      <c r="K83" s="2"/>
    </row>
    <row r="84" spans="1:11">
      <c r="A84" s="2"/>
      <c r="B84" s="11"/>
      <c r="C84" s="11"/>
      <c r="D84" s="2"/>
      <c r="E84" s="2"/>
      <c r="F84" s="11"/>
      <c r="G84" s="2"/>
      <c r="H84" s="11"/>
      <c r="I84" s="11" t="str">
        <f t="shared" si="2"/>
        <v/>
      </c>
      <c r="J84" s="2"/>
      <c r="K84" s="2"/>
    </row>
    <row r="85" spans="1:11">
      <c r="A85" s="2"/>
      <c r="B85" s="11"/>
      <c r="C85" s="11"/>
      <c r="D85" s="2"/>
      <c r="E85" s="2"/>
      <c r="F85" s="11"/>
      <c r="G85" s="2"/>
      <c r="H85" s="11"/>
      <c r="I85" s="11" t="str">
        <f t="shared" si="2"/>
        <v/>
      </c>
      <c r="J85" s="2"/>
      <c r="K85" s="2"/>
    </row>
    <row r="86" spans="1:11">
      <c r="A86" s="2"/>
      <c r="B86" s="11"/>
      <c r="C86" s="11"/>
      <c r="D86" s="2"/>
      <c r="E86" s="2"/>
      <c r="F86" s="11"/>
      <c r="G86" s="2"/>
      <c r="H86" s="11"/>
      <c r="I86" s="11" t="str">
        <f t="shared" si="2"/>
        <v/>
      </c>
      <c r="J86" s="2"/>
      <c r="K86" s="2"/>
    </row>
    <row r="87" spans="1:11">
      <c r="A87" s="2"/>
      <c r="B87" s="11"/>
      <c r="C87" s="11"/>
      <c r="D87" s="2"/>
      <c r="E87" s="2"/>
      <c r="F87" s="11"/>
      <c r="G87" s="2"/>
      <c r="H87" s="11"/>
      <c r="I87" s="11" t="str">
        <f t="shared" si="2"/>
        <v/>
      </c>
      <c r="J87" s="2"/>
      <c r="K87" s="2"/>
    </row>
    <row r="88" spans="1:11">
      <c r="A88" s="2"/>
      <c r="B88" s="11"/>
      <c r="C88" s="11"/>
      <c r="D88" s="2"/>
      <c r="E88" s="2"/>
      <c r="F88" s="11"/>
      <c r="G88" s="2"/>
      <c r="H88" s="11"/>
      <c r="I88" s="11" t="str">
        <f t="shared" si="2"/>
        <v/>
      </c>
      <c r="J88" s="2"/>
      <c r="K88" s="2"/>
    </row>
    <row r="89" spans="1:11">
      <c r="A89" s="2"/>
      <c r="B89" s="11"/>
      <c r="C89" s="11"/>
      <c r="D89" s="2"/>
      <c r="E89" s="2"/>
      <c r="F89" s="11"/>
      <c r="G89" s="2"/>
      <c r="H89" s="11"/>
      <c r="I89" s="11" t="str">
        <f t="shared" si="2"/>
        <v/>
      </c>
      <c r="J89" s="2"/>
      <c r="K89" s="2"/>
    </row>
    <row r="90" spans="1:11">
      <c r="A90" s="2"/>
      <c r="B90" s="11"/>
      <c r="C90" s="11"/>
      <c r="D90" s="2"/>
      <c r="E90" s="2"/>
      <c r="F90" s="11"/>
      <c r="G90" s="2"/>
      <c r="H90" s="11"/>
      <c r="I90" s="11" t="str">
        <f t="shared" si="2"/>
        <v/>
      </c>
      <c r="J90" s="2"/>
      <c r="K90" s="2"/>
    </row>
    <row r="91" spans="1:11">
      <c r="A91" s="2"/>
      <c r="B91" s="11"/>
      <c r="C91" s="11"/>
      <c r="D91" s="2"/>
      <c r="E91" s="2"/>
      <c r="F91" s="11"/>
      <c r="G91" s="2"/>
      <c r="H91" s="11"/>
      <c r="I91" s="11" t="str">
        <f t="shared" si="2"/>
        <v/>
      </c>
      <c r="J91" s="2"/>
      <c r="K91" s="2"/>
    </row>
    <row r="92" spans="1:11">
      <c r="A92" s="2"/>
      <c r="B92" s="11"/>
      <c r="C92" s="11"/>
      <c r="D92" s="2"/>
      <c r="E92" s="2"/>
      <c r="F92" s="11"/>
      <c r="G92" s="2"/>
      <c r="H92" s="11"/>
      <c r="I92" s="11" t="str">
        <f t="shared" si="2"/>
        <v/>
      </c>
      <c r="J92" s="2"/>
      <c r="K92" s="2"/>
    </row>
    <row r="93" spans="1:11">
      <c r="A93" s="2"/>
      <c r="B93" s="11"/>
      <c r="C93" s="11"/>
      <c r="D93" s="2"/>
      <c r="E93" s="2"/>
      <c r="F93" s="11"/>
      <c r="G93" s="2"/>
      <c r="H93" s="11"/>
      <c r="I93" s="11" t="str">
        <f t="shared" si="2"/>
        <v/>
      </c>
      <c r="J93" s="2"/>
      <c r="K93" s="2"/>
    </row>
    <row r="94" spans="1:11">
      <c r="A94" s="2"/>
      <c r="B94" s="11"/>
      <c r="C94" s="11"/>
      <c r="D94" s="2"/>
      <c r="E94" s="2"/>
      <c r="F94" s="11"/>
      <c r="G94" s="2"/>
      <c r="H94" s="11"/>
      <c r="I94" s="11" t="str">
        <f t="shared" si="2"/>
        <v/>
      </c>
      <c r="J94" s="2"/>
      <c r="K94" s="2"/>
    </row>
    <row r="95" spans="1:11">
      <c r="A95" s="2"/>
      <c r="B95" s="11"/>
      <c r="C95" s="11"/>
      <c r="D95" s="2"/>
      <c r="E95" s="2"/>
      <c r="F95" s="11"/>
      <c r="G95" s="2"/>
      <c r="H95" s="11"/>
      <c r="I95" s="11" t="str">
        <f t="shared" si="2"/>
        <v/>
      </c>
      <c r="J95" s="2"/>
      <c r="K95" s="2"/>
    </row>
    <row r="96" spans="1:11">
      <c r="A96" s="2"/>
      <c r="B96" s="11"/>
      <c r="C96" s="11"/>
      <c r="D96" s="2"/>
      <c r="E96" s="2"/>
      <c r="F96" s="11"/>
      <c r="G96" s="2"/>
      <c r="H96" s="11"/>
      <c r="I96" s="11" t="str">
        <f t="shared" si="2"/>
        <v/>
      </c>
      <c r="J96" s="2"/>
      <c r="K96" s="2"/>
    </row>
    <row r="97" spans="1:11">
      <c r="A97" s="2"/>
      <c r="B97" s="11"/>
      <c r="C97" s="11"/>
      <c r="D97" s="2"/>
      <c r="E97" s="2"/>
      <c r="F97" s="11"/>
      <c r="G97" s="2"/>
      <c r="H97" s="11"/>
      <c r="I97" s="11" t="str">
        <f t="shared" si="2"/>
        <v/>
      </c>
      <c r="J97" s="2"/>
      <c r="K97" s="2"/>
    </row>
    <row r="98" spans="1:11">
      <c r="A98" s="2"/>
      <c r="B98" s="11"/>
      <c r="C98" s="11"/>
      <c r="D98" s="2"/>
      <c r="E98" s="2"/>
      <c r="F98" s="11"/>
      <c r="G98" s="2"/>
      <c r="H98" s="11"/>
      <c r="I98" s="11" t="str">
        <f t="shared" si="2"/>
        <v/>
      </c>
      <c r="J98" s="2"/>
      <c r="K98" s="2"/>
    </row>
    <row r="99" spans="1:11">
      <c r="A99" s="2"/>
      <c r="B99" s="11"/>
      <c r="C99" s="11"/>
      <c r="D99" s="2"/>
      <c r="E99" s="2"/>
      <c r="F99" s="11"/>
      <c r="G99" s="2"/>
      <c r="H99" s="11"/>
      <c r="I99" s="11" t="str">
        <f t="shared" si="2"/>
        <v/>
      </c>
      <c r="J99" s="2"/>
      <c r="K99" s="2"/>
    </row>
    <row r="100" spans="1:11">
      <c r="A100" s="2"/>
      <c r="B100" s="11"/>
      <c r="C100" s="11"/>
      <c r="D100" s="2"/>
      <c r="E100" s="2"/>
      <c r="F100" s="11"/>
      <c r="G100" s="2"/>
      <c r="H100" s="11"/>
      <c r="I100" s="11" t="str">
        <f t="shared" ref="I100:I103" si="3">IF(AND(F100&lt;&gt;"",H100&lt;&gt;""),F100*H100,"")</f>
        <v/>
      </c>
      <c r="J100" s="2"/>
      <c r="K100" s="2"/>
    </row>
    <row r="101" spans="1:11">
      <c r="A101" s="2"/>
      <c r="B101" s="11"/>
      <c r="C101" s="11"/>
      <c r="D101" s="2"/>
      <c r="E101" s="2"/>
      <c r="F101" s="11"/>
      <c r="G101" s="2"/>
      <c r="H101" s="11"/>
      <c r="I101" s="11" t="str">
        <f t="shared" si="3"/>
        <v/>
      </c>
      <c r="J101" s="2"/>
      <c r="K101" s="2"/>
    </row>
    <row r="102" spans="1:11">
      <c r="A102" s="2"/>
      <c r="B102" s="11"/>
      <c r="C102" s="11"/>
      <c r="D102" s="2"/>
      <c r="E102" s="2"/>
      <c r="F102" s="11"/>
      <c r="G102" s="2"/>
      <c r="H102" s="11"/>
      <c r="I102" s="11" t="str">
        <f t="shared" si="3"/>
        <v/>
      </c>
      <c r="J102" s="2"/>
      <c r="K102" s="2"/>
    </row>
    <row r="103" spans="1:11">
      <c r="A103" s="2"/>
      <c r="B103" s="11"/>
      <c r="C103" s="11"/>
      <c r="D103" s="2"/>
      <c r="E103" s="2"/>
      <c r="F103" s="11"/>
      <c r="G103" s="2"/>
      <c r="H103" s="11"/>
      <c r="I103" s="11" t="str">
        <f t="shared" si="3"/>
        <v/>
      </c>
      <c r="J103" s="2"/>
      <c r="K103" s="2"/>
    </row>
  </sheetData>
  <mergeCells count="1">
    <mergeCell ref="A1:K1"/>
  </mergeCells>
  <phoneticPr fontId="7" type="noConversion"/>
  <dataValidations count="1">
    <dataValidation type="list" sqref="J4:J103" xr:uid="{00000000-0002-0000-0700-000000000000}">
      <formula1>"대기,준비중,완료,취소"</formula1>
    </dataValidation>
  </dataValidations>
  <pageMargins left="0.23" right="0.19" top="0.75" bottom="0.75" header="0.3" footer="0.3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showGridLines="0" workbookViewId="0">
      <selection activeCell="E36" sqref="E36:E37"/>
    </sheetView>
  </sheetViews>
  <sheetFormatPr defaultRowHeight="14.25"/>
  <cols>
    <col min="1" max="1" width="14" customWidth="1"/>
    <col min="2" max="2" width="24" customWidth="1"/>
    <col min="3" max="3" width="46" customWidth="1"/>
    <col min="4" max="4" width="34" customWidth="1"/>
    <col min="5" max="5" width="18" customWidth="1"/>
    <col min="6" max="6" width="20" customWidth="1"/>
  </cols>
  <sheetData>
    <row r="1" spans="1:6">
      <c r="A1" s="1" t="s">
        <v>452</v>
      </c>
      <c r="B1" s="1" t="s">
        <v>452</v>
      </c>
      <c r="C1" s="1" t="s">
        <v>452</v>
      </c>
      <c r="D1" s="1" t="s">
        <v>452</v>
      </c>
      <c r="E1" s="1" t="s">
        <v>452</v>
      </c>
      <c r="F1" s="1" t="s">
        <v>452</v>
      </c>
    </row>
    <row r="3" spans="1:6" ht="15">
      <c r="A3" s="5" t="s">
        <v>20</v>
      </c>
      <c r="B3" s="5" t="s">
        <v>453</v>
      </c>
      <c r="C3" s="5" t="s">
        <v>454</v>
      </c>
      <c r="D3" s="5" t="s">
        <v>455</v>
      </c>
      <c r="E3" s="5" t="s">
        <v>456</v>
      </c>
      <c r="F3" s="5" t="s">
        <v>47</v>
      </c>
    </row>
    <row r="4" spans="1:6" ht="28.5">
      <c r="A4" s="2" t="s">
        <v>457</v>
      </c>
      <c r="B4" s="2" t="s">
        <v>458</v>
      </c>
      <c r="C4" s="2" t="s">
        <v>459</v>
      </c>
      <c r="D4" s="2" t="s">
        <v>460</v>
      </c>
      <c r="E4" s="2" t="s">
        <v>461</v>
      </c>
      <c r="F4" s="2"/>
    </row>
    <row r="5" spans="1:6" ht="28.5">
      <c r="A5" s="2" t="s">
        <v>457</v>
      </c>
      <c r="B5" s="2" t="s">
        <v>59</v>
      </c>
      <c r="C5" s="2" t="s">
        <v>462</v>
      </c>
      <c r="D5" s="2" t="s">
        <v>463</v>
      </c>
      <c r="E5" s="2" t="s">
        <v>461</v>
      </c>
      <c r="F5" s="2"/>
    </row>
    <row r="6" spans="1:6">
      <c r="A6" s="2" t="s">
        <v>68</v>
      </c>
      <c r="B6" s="2" t="s">
        <v>144</v>
      </c>
      <c r="C6" s="2" t="s">
        <v>464</v>
      </c>
      <c r="D6" s="2" t="s">
        <v>465</v>
      </c>
      <c r="E6" s="2" t="s">
        <v>461</v>
      </c>
      <c r="F6" s="2"/>
    </row>
    <row r="7" spans="1:6" ht="28.5">
      <c r="A7" s="2" t="s">
        <v>73</v>
      </c>
      <c r="B7" s="2" t="s">
        <v>466</v>
      </c>
      <c r="C7" s="2" t="s">
        <v>467</v>
      </c>
      <c r="D7" s="2" t="s">
        <v>468</v>
      </c>
      <c r="E7" s="2" t="s">
        <v>461</v>
      </c>
      <c r="F7" s="2"/>
    </row>
    <row r="8" spans="1:6">
      <c r="A8" s="2" t="s">
        <v>73</v>
      </c>
      <c r="B8" s="2" t="s">
        <v>469</v>
      </c>
      <c r="C8" s="2" t="s">
        <v>470</v>
      </c>
      <c r="D8" s="2" t="s">
        <v>471</v>
      </c>
      <c r="E8" s="2" t="s">
        <v>472</v>
      </c>
      <c r="F8" s="2"/>
    </row>
    <row r="9" spans="1:6">
      <c r="A9" s="2" t="s">
        <v>78</v>
      </c>
      <c r="B9" s="2" t="s">
        <v>473</v>
      </c>
      <c r="C9" s="2" t="s">
        <v>474</v>
      </c>
      <c r="D9" s="2" t="s">
        <v>475</v>
      </c>
      <c r="E9" s="2" t="s">
        <v>472</v>
      </c>
      <c r="F9" s="2"/>
    </row>
    <row r="10" spans="1:6">
      <c r="A10" s="2" t="s">
        <v>476</v>
      </c>
      <c r="B10" s="2" t="s">
        <v>477</v>
      </c>
      <c r="C10" s="2" t="s">
        <v>478</v>
      </c>
      <c r="D10" s="2" t="s">
        <v>479</v>
      </c>
      <c r="E10" s="2" t="s">
        <v>472</v>
      </c>
      <c r="F10" s="2" t="s">
        <v>480</v>
      </c>
    </row>
    <row r="11" spans="1:6">
      <c r="A11" s="2" t="s">
        <v>481</v>
      </c>
      <c r="B11" s="2" t="s">
        <v>482</v>
      </c>
      <c r="C11" s="2" t="s">
        <v>483</v>
      </c>
      <c r="D11" s="2" t="s">
        <v>484</v>
      </c>
      <c r="E11" s="2" t="s">
        <v>461</v>
      </c>
      <c r="F11" s="2"/>
    </row>
    <row r="12" spans="1:6">
      <c r="A12" s="2" t="s">
        <v>485</v>
      </c>
      <c r="B12" s="2" t="s">
        <v>486</v>
      </c>
      <c r="C12" s="2" t="s">
        <v>487</v>
      </c>
      <c r="D12" s="2" t="s">
        <v>488</v>
      </c>
      <c r="E12" s="2" t="s">
        <v>461</v>
      </c>
      <c r="F12" s="2" t="s">
        <v>489</v>
      </c>
    </row>
    <row r="15" spans="1:6">
      <c r="A15" s="20" t="s">
        <v>490</v>
      </c>
      <c r="B15" s="21" t="s">
        <v>490</v>
      </c>
      <c r="C15" s="21" t="s">
        <v>490</v>
      </c>
      <c r="D15" s="21" t="s">
        <v>490</v>
      </c>
      <c r="E15" s="21" t="s">
        <v>490</v>
      </c>
      <c r="F15" s="22" t="s">
        <v>490</v>
      </c>
    </row>
    <row r="17" spans="1:6" ht="15">
      <c r="A17" s="7" t="s">
        <v>109</v>
      </c>
      <c r="B17" s="7" t="s">
        <v>491</v>
      </c>
      <c r="C17" s="7" t="s">
        <v>492</v>
      </c>
      <c r="D17" s="7" t="s">
        <v>493</v>
      </c>
      <c r="E17" s="7" t="s">
        <v>114</v>
      </c>
      <c r="F17" s="7" t="s">
        <v>494</v>
      </c>
    </row>
    <row r="18" spans="1:6" ht="28.5">
      <c r="A18" s="2" t="s">
        <v>9</v>
      </c>
      <c r="B18" s="2" t="s">
        <v>495</v>
      </c>
      <c r="C18" s="2" t="s">
        <v>496</v>
      </c>
      <c r="D18" s="2" t="s">
        <v>497</v>
      </c>
      <c r="E18" s="2" t="s">
        <v>498</v>
      </c>
      <c r="F18" s="2" t="s">
        <v>499</v>
      </c>
    </row>
    <row r="19" spans="1:6">
      <c r="A19" s="2" t="s">
        <v>11</v>
      </c>
      <c r="B19" s="2" t="s">
        <v>500</v>
      </c>
      <c r="C19" s="2" t="s">
        <v>501</v>
      </c>
      <c r="D19" s="2" t="s">
        <v>502</v>
      </c>
      <c r="E19" s="2" t="s">
        <v>503</v>
      </c>
      <c r="F19" s="2" t="s">
        <v>504</v>
      </c>
    </row>
    <row r="20" spans="1:6">
      <c r="A20" s="2" t="s">
        <v>14</v>
      </c>
      <c r="B20" s="2" t="s">
        <v>505</v>
      </c>
      <c r="C20" s="2" t="s">
        <v>506</v>
      </c>
      <c r="D20" s="2" t="s">
        <v>502</v>
      </c>
      <c r="E20" s="2" t="s">
        <v>507</v>
      </c>
      <c r="F20" s="2" t="s">
        <v>508</v>
      </c>
    </row>
    <row r="21" spans="1:6">
      <c r="A21" s="2" t="s">
        <v>16</v>
      </c>
      <c r="B21" s="2" t="s">
        <v>495</v>
      </c>
      <c r="C21" s="2" t="s">
        <v>509</v>
      </c>
      <c r="D21" s="2" t="s">
        <v>497</v>
      </c>
      <c r="E21" s="2" t="s">
        <v>510</v>
      </c>
      <c r="F21" s="2" t="s">
        <v>511</v>
      </c>
    </row>
  </sheetData>
  <mergeCells count="2">
    <mergeCell ref="A1:F1"/>
    <mergeCell ref="A15:F15"/>
  </mergeCells>
  <phoneticPr fontId="7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00_사용안내</vt:lpstr>
      <vt:lpstr>01_앱개발_범위</vt:lpstr>
      <vt:lpstr>02_업무흐름</vt:lpstr>
      <vt:lpstr>03_화면정의</vt:lpstr>
      <vt:lpstr>04_출력주문서_양식</vt:lpstr>
      <vt:lpstr>05_데이터정의</vt:lpstr>
      <vt:lpstr>06_주문마스터_데이터</vt:lpstr>
      <vt:lpstr>07_상품상세_데이터</vt:lpstr>
      <vt:lpstr>08_검수기준_일정</vt:lpstr>
      <vt:lpstr>'06_주문마스터_데이터'!Print_Area</vt:lpstr>
      <vt:lpstr>'07_상품상세_데이터'!Print_Area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sdfe</dc:creator>
  <cp:lastModifiedBy>Taeyoung Seon</cp:lastModifiedBy>
  <cp:lastPrinted>2026-06-29T03:43:49Z</cp:lastPrinted>
  <dcterms:created xsi:type="dcterms:W3CDTF">2026-06-26T10:28:35Z</dcterms:created>
  <dcterms:modified xsi:type="dcterms:W3CDTF">2026-07-31T01:53:08Z</dcterms:modified>
</cp:coreProperties>
</file>